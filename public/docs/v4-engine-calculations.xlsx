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e54887027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4" r:id="R4764a9b199d64084"/>
    <x:sheet xmlns:r="http://schemas.openxmlformats.org/officeDocument/2006/relationships" name="Inputs" sheetId="2" r:id="R8b59dae5b8fc4e08"/>
    <x:sheet xmlns:r="http://schemas.openxmlformats.org/officeDocument/2006/relationships" name="Équilibrage" sheetId="3" r:id="Rf0ba2e8862004df3"/>
    <x:sheet xmlns:r="http://schemas.openxmlformats.org/officeDocument/2006/relationships" name="Calculs détaillés" sheetId="1" r:id="R04facdc23ae0458c"/>
  </x:sheets>
  <x:definedNames>
    <x:definedName name="angle_du_V">Feuil1!$B$4:$C$4</x:definedName>
    <x:definedName name="angle_du_V_deg">Feuil1!$B$4:$C$4</x:definedName>
    <x:definedName name="angle_du_V_rad">Feuil1!$B$5:$C$5</x:definedName>
    <x:definedName name="Cyl_tot">Feuil1!$C$9</x:definedName>
    <x:definedName name="Cyl_unit">Feuil1!$C$10</x:definedName>
    <x:definedName name="Cylindrée_approximative">Feuil1!$B$9:$C$9</x:definedName>
    <x:definedName name="Cylindrée_unitaire">Feuil1!$B$10:$C$10</x:definedName>
    <x:definedName name="Distances_entre_systèmes_1">Feuil1!$B$25:$C$25</x:definedName>
    <x:definedName name="Distances_entre_systèmes_2">Feuil1!$B$26:$C$26</x:definedName>
    <x:definedName name="Distances_entre_systèmes_3">Feuil1!$B$27:$C$27</x:definedName>
    <x:definedName name="Distances_entre_systèmes_4">Feuil1!$B$28:$C$28</x:definedName>
    <x:definedName name="L_">Feuil1!$C$7</x:definedName>
    <x:definedName name="lambda">Feuil1!$C$8</x:definedName>
    <x:definedName name="Longueur_de_Bielle">Feuil1!$B$7:$C$7</x:definedName>
    <x:definedName name="m1_">Feuil1!$AY$3</x:definedName>
    <x:definedName name="m2_">Feuil1!$AY$4</x:definedName>
    <x:definedName name="Malt">Feuil1!$C$24</x:definedName>
    <x:definedName name="Masse_alternative">Feuil1!$B$24:$C$24</x:definedName>
    <x:definedName name="Masse_bielle_sur_sa_tête">Feuil1!$B$22:$C$22</x:definedName>
    <x:definedName name="Masse_bielle_sur_son_pied">Feuil1!$B$21:$C$21</x:definedName>
    <x:definedName name="Masse_de_la_Bielle">Feuil1!$B$15:$C$15</x:definedName>
    <x:definedName name="Masse_du_piston">Feuil1!$B$14:$C$14</x:definedName>
    <x:definedName name="Masse_du_vilebrequin_élém_équiv">Feuil1!$B$19:$C$19</x:definedName>
    <x:definedName name="Masse_du_vilebrequin_élémentaire">Feuil1!$B$17:$C$17</x:definedName>
    <x:definedName name="Masse_rotative">Feuil1!$B$23:$C$23</x:definedName>
    <x:definedName name="Masse_totale_du_vilebrequin">Feuil1!$B$16:$C$16</x:definedName>
    <x:definedName name="Mbiel">Feuil1!$C$15</x:definedName>
    <x:definedName name="Mbiel_A">Feuil1!$C$21</x:definedName>
    <x:definedName name="Mbiel_B">Feuil1!$C$22</x:definedName>
    <x:definedName name="Mpist">Feuil1!$C$14</x:definedName>
    <x:definedName name="Mrot">Feuil1!$C$23</x:definedName>
    <x:definedName name="mtot">Feuil1!$AY$5</x:definedName>
    <x:definedName name="Mvil_elem">Feuil1!$C$17</x:definedName>
    <x:definedName name="Mvil_equi">Feuil1!$C$19</x:definedName>
    <x:definedName name="Mvil_tot">Feuil1!$C$16</x:definedName>
    <x:definedName name="N">Feuil1!$C$12</x:definedName>
    <x:definedName name="nb_cyl">Feuil1!$C$3</x:definedName>
    <x:definedName name="nb_de_cylindres">Feuil1!$B$3:$C$3</x:definedName>
    <x:definedName name="O_O1">Feuil1!$C$25</x:definedName>
    <x:definedName name="O_O2">Feuil1!$C$26</x:definedName>
    <x:definedName name="O_O3">Feuil1!$C$27</x:definedName>
    <x:definedName name="O_O4">Feuil1!$C$28</x:definedName>
    <x:definedName name="OG">Feuil1!$C$18</x:definedName>
    <x:definedName name="Omega">Feuil1!$C$13</x:definedName>
    <x:definedName name="phy_deg">Feuil1!$AY$7</x:definedName>
    <x:definedName name="phy_rad">Feuil1!$AY$8</x:definedName>
    <x:definedName name="Position_du_cdg_du_vilebrequin">Feuil1!$B$18:$C$18</x:definedName>
    <x:definedName name="r_">Feuil1!$AY$10</x:definedName>
    <x:definedName name="R_cyl">Feuil1!$C$11</x:definedName>
    <x:definedName name="R_den">Feuil1!$AY$6</x:definedName>
    <x:definedName name="Rapport_R_L">Feuil1!$B$8:$C$8</x:definedName>
    <x:definedName name="ratio_cdg_biel">Feuil1!$C$20</x:definedName>
    <x:definedName name="Ratio_position_du_cdg_de_la_bielle">Feuil1!$B$20:$C$20</x:definedName>
    <x:definedName name="Rayon_cylindre">Feuil1!$B$11:$C$11</x:definedName>
    <x:definedName name="Rayon_manivelle">Feuil1!$B$6:$C$6</x:definedName>
    <x:definedName name="Vdeg">Feuil1!$C$4</x:definedName>
    <x:definedName name="Vitesse_de_rotation_N">Feuil1!$B$12:$C$12</x:definedName>
    <x:definedName name="Vitesse_de_rotation_w">Feuil1!$B$13:$C$13</x:definedName>
    <x:definedName name="Vrad">Feuil1!$C$5</x:definedName>
    <x:definedName name="wm">Feuil1!$AY$9</x:definedName>
  </x:definedNames>
</x:workbook>
</file>

<file path=xl/sharedStrings.xml><?xml version="1.0" encoding="utf-8"?>
<x:sst xmlns:x="http://schemas.openxmlformats.org/spreadsheetml/2006/main">
  <x:si>
    <x:t xml:space="preserve">Données</x:t>
  </x:si>
  <x:si>
    <x:t xml:space="preserve">Données axe d'équilibrage</x:t>
  </x:si>
  <x:si>
    <x:t xml:space="preserve">nb de cylindres</x:t>
  </x:si>
  <x:si>
    <x:t xml:space="preserve">nb_cyl</x:t>
  </x:si>
  <x:si>
    <x:t xml:space="preserve">Masse 1</x:t>
  </x:si>
  <x:si>
    <x:t xml:space="preserve">m1</x:t>
  </x:si>
  <x:si>
    <x:t xml:space="preserve">kg</x:t>
  </x:si>
  <x:si>
    <x:t xml:space="preserve">g</x:t>
  </x:si>
  <x:si>
    <x:t xml:space="preserve">angle du V deg</x:t>
  </x:si>
  <x:si>
    <x:t xml:space="preserve">Vdeg</x:t>
  </x:si>
  <x:si>
    <x:t xml:space="preserve">deg</x:t>
  </x:si>
  <x:si>
    <x:t xml:space="preserve">Masse 2</x:t>
  </x:si>
  <x:si>
    <x:t xml:space="preserve">m2</x:t>
  </x:si>
  <x:si>
    <x:t xml:space="preserve">angle du V rad</x:t>
  </x:si>
  <x:si>
    <x:t xml:space="preserve">Vrad</x:t>
  </x:si>
  <x:si>
    <x:t xml:space="preserve">rad </x:t>
  </x:si>
  <x:si>
    <x:t xml:space="preserve">Masse totale</x:t>
  </x:si>
  <x:si>
    <x:t xml:space="preserve">mtot</x:t>
  </x:si>
  <x:si>
    <x:t xml:space="preserve">Rayon manivelle</x:t>
  </x:si>
  <x:si>
    <x:t xml:space="preserve">R</x:t>
  </x:si>
  <x:si>
    <x:t xml:space="preserve">m</x:t>
  </x:si>
  <x:si>
    <x:t xml:space="preserve">Rayon roue dentée</x:t>
  </x:si>
  <x:si>
    <x:t xml:space="preserve">R_m</x:t>
  </x:si>
  <x:si>
    <x:t xml:space="preserve">Longueur de Bielle</x:t>
  </x:si>
  <x:si>
    <x:t xml:space="preserve">L</x:t>
  </x:si>
  <x:si>
    <x:t xml:space="preserve">Déphasage phy deg</x:t>
  </x:si>
  <x:si>
    <x:t xml:space="preserve">phy_deg</x:t>
  </x:si>
  <x:si>
    <x:t xml:space="preserve">°</x:t>
  </x:si>
  <x:si>
    <x:t xml:space="preserve">Rapport R/L</x:t>
  </x:si>
  <x:si>
    <x:t xml:space="preserve">lambda</x:t>
  </x:si>
  <x:si>
    <x:t xml:space="preserve">Déphasage phy rad</x:t>
  </x:si>
  <x:si>
    <x:t xml:space="preserve">phy_rad</x:t>
  </x:si>
  <x:si>
    <x:t xml:space="preserve">rad</x:t>
  </x:si>
  <x:si>
    <x:t xml:space="preserve">Cylindrée approximative </x:t>
  </x:si>
  <x:si>
    <x:t xml:space="preserve">Cyl_tot</x:t>
  </x:si>
  <x:si>
    <x:t xml:space="preserve">Vitesse angulaire</x:t>
  </x:si>
  <x:si>
    <x:t xml:space="preserve">wm</x:t>
  </x:si>
  <x:si>
    <x:t xml:space="preserve">rad/s</x:t>
  </x:si>
  <x:si>
    <x:t xml:space="preserve">Cylindrée unitaire</x:t>
  </x:si>
  <x:si>
    <x:t xml:space="preserve">Cyl_unit</x:t>
  </x:si>
  <x:si>
    <x:t xml:space="preserve">Rapport de réduction</x:t>
  </x:si>
  <x:si>
    <x:t xml:space="preserve">r </x:t>
  </x:si>
  <x:si>
    <x:t xml:space="preserve">Rayon cylindre</x:t>
  </x:si>
  <x:si>
    <x:t xml:space="preserve">R_cyl</x:t>
  </x:si>
  <x:si>
    <x:t xml:space="preserve">Vitesse de rotation N</x:t>
  </x:si>
  <x:si>
    <x:t xml:space="preserve">N</x:t>
  </x:si>
  <x:si>
    <x:t xml:space="preserve">tr_min-1</x:t>
  </x:si>
  <x:si>
    <x:t xml:space="preserve">Vitesse de rotation w</x:t>
  </x:si>
  <x:si>
    <x:t xml:space="preserve">Omega</x:t>
  </x:si>
  <x:si>
    <x:t xml:space="preserve">rad_s-1</x:t>
  </x:si>
  <x:si>
    <x:t xml:space="preserve">Masse du piston</x:t>
  </x:si>
  <x:si>
    <x:t xml:space="preserve">Mpist</x:t>
  </x:si>
  <x:si>
    <x:t xml:space="preserve">Masse de la Bielle</x:t>
  </x:si>
  <x:si>
    <x:t xml:space="preserve">Mbiel</x:t>
  </x:si>
  <x:si>
    <x:t xml:space="preserve">Masse totale du vilebrequin</x:t>
  </x:si>
  <x:si>
    <x:t xml:space="preserve">Mvil_tot</x:t>
  </x:si>
  <x:si>
    <x:t xml:space="preserve">Masse du vilebrequin élémentaire</x:t>
  </x:si>
  <x:si>
    <x:t xml:space="preserve">Mvil_elem</x:t>
  </x:si>
  <x:si>
    <x:t xml:space="preserve">Position du cdg du vilebrequin</x:t>
  </x:si>
  <x:si>
    <x:t xml:space="preserve">OG</x:t>
  </x:si>
  <x:si>
    <x:t xml:space="preserve">"OG" négatif car on veut un centre de gravité en-dessous du vilebrequin histoire que quand on rajoute la bielle et le piston, il soit à peu près confondu avec l'axe du vilebrequin (de rotation) d'où l'utilisation de masselottes.  </x:t>
  </x:si>
  <x:si>
    <x:t xml:space="preserve">Masse du vilebrequin élém équiv</x:t>
  </x:si>
  <x:si>
    <x:t xml:space="preserve">Mvil_equi</x:t>
  </x:si>
  <x:si>
    <x:t xml:space="preserve">Ratio position du cdg de la bielle</x:t>
  </x:si>
  <x:si>
    <x:t xml:space="preserve">ratio_cdg_biel</x:t>
  </x:si>
  <x:si>
    <x:t xml:space="preserve">Calcul de fatigue bielle Berviller</x:t>
  </x:si>
  <x:si>
    <x:t xml:space="preserve">Masse bielle sur son pied</x:t>
  </x:si>
  <x:si>
    <x:t xml:space="preserve">Mbiel_A</x:t>
  </x:si>
  <x:si>
    <x:t xml:space="preserve">Force de combustion</x:t>
  </x:si>
  <x:si>
    <x:t xml:space="preserve">Masse bielle sur sa tête </x:t>
  </x:si>
  <x:si>
    <x:t xml:space="preserve">Mbiel_B</x:t>
  </x:si>
  <x:si>
    <x:t xml:space="preserve">sigma</x:t>
  </x:si>
  <x:si>
    <x:t xml:space="preserve">MPa</x:t>
  </x:si>
  <x:si>
    <x:t xml:space="preserve">Masse rotative</x:t>
  </x:si>
  <x:si>
    <x:t xml:space="preserve">Mrot</x:t>
  </x:si>
  <x:si>
    <x:t xml:space="preserve">Masse alternative</x:t>
  </x:si>
  <x:si>
    <x:t xml:space="preserve">Malt</x:t>
  </x:si>
  <x:si>
    <x:t xml:space="preserve">Distances entre systèmes 1</x:t>
  </x:si>
  <x:si>
    <x:t xml:space="preserve">O_O1</x:t>
  </x:si>
  <x:si>
    <x:t xml:space="preserve">Distances entre systèmes 2</x:t>
  </x:si>
  <x:si>
    <x:t xml:space="preserve">O_O2</x:t>
  </x:si>
  <x:si>
    <x:t xml:space="preserve">Distances entre systèmes 3</x:t>
  </x:si>
  <x:si>
    <x:t xml:space="preserve">O_O3</x:t>
  </x:si>
  <x:si>
    <x:t xml:space="preserve">Distances entre systèmes 4</x:t>
  </x:si>
  <x:si>
    <x:t xml:space="preserve">O_O4</x:t>
  </x:si>
  <x:si>
    <x:t xml:space="preserve">Forces Repère Local (N)</x:t>
  </x:si>
  <x:si>
    <x:t xml:space="preserve">Forces Repère Global (N)</x:t>
  </x:si>
  <x:si>
    <x:t xml:space="preserve">Moments Repère Global (Nm)</x:t>
  </x:si>
  <x:si>
    <x:t xml:space="preserve">Force d'équilibrage</x:t>
  </x:si>
  <x:si>
    <x:t xml:space="preserve">Theta1_deg</x:t>
  </x:si>
  <x:si>
    <x:t xml:space="preserve">Theta2_deg</x:t>
  </x:si>
  <x:si>
    <x:t xml:space="preserve">Theta3_deg</x:t>
  </x:si>
  <x:si>
    <x:t xml:space="preserve">Theta4_deg</x:t>
  </x:si>
  <x:si>
    <x:t xml:space="preserve">Theta1_rad</x:t>
  </x:si>
  <x:si>
    <x:t xml:space="preserve">Theta2_rad</x:t>
  </x:si>
  <x:si>
    <x:t xml:space="preserve">Theta3_rad</x:t>
  </x:si>
  <x:si>
    <x:t xml:space="preserve">Theta4_rad</x:t>
  </x:si>
  <x:si>
    <x:t xml:space="preserve">Fx1_loc</x:t>
  </x:si>
  <x:si>
    <x:t xml:space="preserve">Fx2_loc</x:t>
  </x:si>
  <x:si>
    <x:t xml:space="preserve">Fx3_loc</x:t>
  </x:si>
  <x:si>
    <x:t xml:space="preserve">Fx4_loc</x:t>
  </x:si>
  <x:si>
    <x:t xml:space="preserve">Fy1_loc</x:t>
  </x:si>
  <x:si>
    <x:t xml:space="preserve">Fy2_loc</x:t>
  </x:si>
  <x:si>
    <x:t xml:space="preserve">Fy3_loc</x:t>
  </x:si>
  <x:si>
    <x:t xml:space="preserve">Fy4_loc</x:t>
  </x:si>
  <x:si>
    <x:t xml:space="preserve">Fx1_Glo</x:t>
  </x:si>
  <x:si>
    <x:t xml:space="preserve">Fx2_Glo</x:t>
  </x:si>
  <x:si>
    <x:t xml:space="preserve">Fx3_Glo</x:t>
  </x:si>
  <x:si>
    <x:t xml:space="preserve">Fx4_Glo</x:t>
  </x:si>
  <x:si>
    <x:t xml:space="preserve">Fy1_Glo</x:t>
  </x:si>
  <x:si>
    <x:t xml:space="preserve">Fy2_Glo</x:t>
  </x:si>
  <x:si>
    <x:t xml:space="preserve">Fy3_Glo</x:t>
  </x:si>
  <x:si>
    <x:t xml:space="preserve">Fy4_Glo</x:t>
  </x:si>
  <x:si>
    <x:t xml:space="preserve">Tamis</x:t>
  </x:si>
  <x:si>
    <x:t xml:space="preserve">Pilon</x:t>
  </x:si>
  <x:si>
    <x:t xml:space="preserve">Mx1_Glo</x:t>
  </x:si>
  <x:si>
    <x:t xml:space="preserve">Mx2_Glo</x:t>
  </x:si>
  <x:si>
    <x:t xml:space="preserve">Mx3_Glo</x:t>
  </x:si>
  <x:si>
    <x:t xml:space="preserve">Mx4_Glo</x:t>
  </x:si>
  <x:si>
    <x:t xml:space="preserve">My1_Glo</x:t>
  </x:si>
  <x:si>
    <x:t xml:space="preserve">My2_Glo</x:t>
  </x:si>
  <x:si>
    <x:t xml:space="preserve">My3_Glo</x:t>
  </x:si>
  <x:si>
    <x:t xml:space="preserve">My4_Glo</x:t>
  </x:si>
  <x:si>
    <x:t xml:space="preserve">Galop</x:t>
  </x:si>
  <x:si>
    <x:t xml:space="preserve">Lacet</x:t>
  </x:si>
  <x:si>
    <x:t xml:space="preserve">Fm1_Xglo</x:t>
  </x:si>
  <x:si>
    <x:t xml:space="preserve">Fm2_Xglo</x:t>
  </x:si>
  <x:si>
    <x:t xml:space="preserve">Fm1_Yglo</x:t>
  </x:si>
  <x:si>
    <x:t xml:space="preserve">Fm2_Yglo</x:t>
  </x:si>
  <x:si>
    <x:t xml:space="preserve">Ftot_Xglo</x:t>
  </x:si>
  <x:si>
    <x:t xml:space="preserve">Ftot_Yglo</x:t>
  </x:si>
</x:sst>
</file>

<file path=xl/styles.xml><?xml version="1.0" encoding="utf-8"?>
<x:styleSheet xmlns:x="http://schemas.openxmlformats.org/spreadsheetml/2006/main">
  <x:numFmts count="4">
    <x:numFmt numFmtId="164" formatCode="0.000"/>
    <x:numFmt numFmtId="200" formatCode="0"/>
    <x:numFmt numFmtId="201" formatCode="0.00"/>
    <x:numFmt numFmtId="202" formatCode="0.0%"/>
  </x:numFmts>
  <x:fonts count="24">
    <x:font>
      <x:sz val="11"/>
      <x:color theme="1"/>
      <x:name val="Calibri"/>
    </x:font>
    <x:font>
      <x:sz val="11"/>
      <x:color theme="1"/>
      <x:name val="Calibri"/>
    </x:font>
    <x:font>
      <x:sz val="9"/>
      <x:color theme="1"/>
      <x:name val="Calibri"/>
    </x:font>
    <x:font>
      <x:sz val="11"/>
      <x:color theme="1"/>
      <x:name val="Calibri"/>
    </x:font>
    <x:font>
      <x:sz val="12"/>
      <x:color rgb="FF000000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sz val="11"/>
      <x:name val="Calibri"/>
    </x:font>
    <x:font>
      <x:b/>
      <x:sz val="20"/>
      <x:color rgb="FFF8FAFC"/>
      <x:name val="Calibri"/>
    </x:font>
    <x:font>
      <x:i/>
      <x:sz val="11"/>
      <x:color rgb="FFCBD5E1"/>
      <x:name val="Calibri"/>
    </x:font>
    <x:font>
      <x:b/>
      <x:sz val="11"/>
      <x:color rgb="FF1E3A8A"/>
      <x:name val="Calibri"/>
    </x:font>
    <x:font>
      <x:b/>
      <x:sz val="11"/>
      <x:color rgb="FF92400E"/>
      <x:name val="Calibri"/>
    </x:font>
    <x:font>
      <x:b/>
      <x:sz val="11"/>
      <x:color rgb="FF6B21A8"/>
      <x:name val="Calibri"/>
    </x:font>
    <x:font>
      <x:b/>
      <x:sz val="11"/>
      <x:color rgb="FFF8FAFC"/>
      <x:name val="Calibri"/>
    </x:font>
    <x:font>
      <x:b/>
      <x:sz val="11"/>
      <x:color rgb="FF075985"/>
      <x:name val="Calibri"/>
    </x:font>
    <x:font>
      <x:b/>
      <x:sz val="16"/>
      <x:color rgb="FFF8FAFC"/>
      <x:name val="Calibri"/>
    </x:font>
    <x:font>
      <x:sz val="11"/>
      <x:color rgb="FF0F172A"/>
      <x:name val="Calibri"/>
    </x:font>
    <x:font>
      <x:b/>
      <x:sz val="11"/>
      <x:color rgb="FF334155"/>
      <x:name val="Calibri"/>
    </x:font>
    <x:font>
      <x:sz val="11"/>
      <x:color rgb="FF64748B"/>
      <x:name val="Calibri"/>
    </x:font>
    <x:font>
      <x:sz val="11"/>
      <x:color rgb="FF9A3412"/>
      <x:name val="Calibri"/>
    </x:font>
    <x:font>
      <x:b/>
      <x:sz val="11"/>
      <x:color rgb="FF0F172A"/>
      <x:name val="Calibri"/>
    </x:font>
    <x:font>
      <x:b/>
      <x:sz val="22"/>
      <x:color rgb="FFF8FAFC"/>
      <x:name val="Calibri"/>
    </x:font>
    <x:font>
      <x:i/>
      <x:sz val="11"/>
      <x:color rgb="FF64748B"/>
      <x:name val="Calibri"/>
    </x:font>
    <x:font>
      <x:b/>
      <x:sz val="11"/>
      <x:color rgb="FFFFFFFF"/>
      <x:name val="Calibri"/>
    </x:font>
  </x:fonts>
  <x:fills count="43">
    <x:fill>
      <x:patternFill patternType="none"/>
    </x:fill>
    <x:fill>
      <x:patternFill patternType="gray125"/>
    </x:fill>
    <x:fill>
      <x:patternFill patternType="solid">
        <x:fgColor rgb="FF9CC2E5"/>
      </x:patternFill>
    </x:fill>
    <x:fill>
      <x:patternFill patternType="solid">
        <x:fgColor rgb="FFBDD6EE"/>
      </x:patternFill>
    </x:fill>
    <x:fill>
      <x:patternFill patternType="solid">
        <x:fgColor rgb="FF00B0F0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theme="7"/>
      </x:patternFill>
    </x:fill>
    <x:fill>
      <x:patternFill patternType="solid">
        <x:fgColor theme="5"/>
      </x:patternFill>
    </x:fill>
    <x:fill>
      <x:patternFill patternType="solid">
        <x:fgColor rgb="FF4A86E8"/>
      </x:patternFill>
    </x:fill>
    <x:fill>
      <x:patternFill patternType="solid">
        <x:fgColor theme="9"/>
      </x:patternFill>
    </x:fill>
    <x:fill>
      <x:patternFill patternType="solid">
        <x:fgColor rgb="FFA8D08D"/>
      </x:patternFill>
    </x:fill>
    <x:fill>
      <x:patternFill patternType="solid">
        <x:fgColor rgb="FFFFD965"/>
      </x:patternFill>
    </x:fill>
    <x:fill>
      <x:patternFill patternType="solid">
        <x:fgColor rgb="FFFFE598"/>
      </x:patternFill>
    </x:fill>
    <x:fill>
      <x:patternFill patternType="solid">
        <x:fgColor rgb="FFF4B083"/>
      </x:patternFill>
    </x:fill>
    <x:fill>
      <x:patternFill patternType="solid">
        <x:fgColor rgb="FFF7CAAC"/>
      </x:patternFill>
    </x:fill>
    <x:fill>
      <x:patternFill patternType="solid">
        <x:fgColor rgb="FFC5E0B3"/>
      </x:patternFill>
    </x:fill>
    <x:fill>
      <x:patternFill patternType="solid">
        <x:fgColor theme="8" tint="0.39998"/>
      </x:patternFill>
    </x:fill>
    <x:fill>
      <x:patternFill patternType="solid">
        <x:fgColor theme="8" tint="0.59999"/>
      </x:patternFill>
    </x:fill>
    <x:fill>
      <x:patternFill patternType="solid">
        <x:fgColor rgb="FFEB1DD2"/>
      </x:patternFill>
    </x:fill>
    <x:fill>
      <x:patternFill patternType="solid">
        <x:fgColor rgb="FFFF66FF"/>
      </x:patternFill>
    </x:fill>
    <x:fill>
      <x:patternFill patternType="solid">
        <x:fgColor rgb="FFFF99FF"/>
      </x:patternFill>
    </x:fill>
    <x:fill>
      <x:patternFill patternType="solid">
        <x:fgColor rgb="FF00B0F0"/>
      </x:patternFill>
    </x:fill>
    <x:fill>
      <x:patternFill patternType="solid">
        <x:fgColor theme="8" tint="0.59999"/>
      </x:patternFill>
    </x:fill>
    <x:fill>
      <x:patternFill patternType="solid">
        <x:fgColor rgb="FF66FF33"/>
      </x:patternFill>
    </x:fill>
    <x:fill>
      <x:patternFill patternType="solid">
        <x:fgColor theme="8" tint="0.39998"/>
      </x:patternFill>
    </x:fill>
    <x:fill>
      <x:patternFill patternType="solid">
        <x:fgColor rgb="FF0B1220"/>
      </x:patternFill>
    </x:fill>
    <x:fill>
      <x:patternFill patternType="solid">
        <x:fgColor rgb="FF111C2E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3E8FF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F59E0B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A21CAF"/>
      </x:patternFill>
    </x:fill>
    <x:fill>
      <x:patternFill patternType="solid">
        <x:fgColor rgb="FFFAE8FF"/>
      </x:patternFill>
    </x:fill>
    <x:fill>
      <x:patternFill patternType="solid">
        <x:fgColor rgb="FFFFFFFF"/>
      </x:patternFill>
    </x:fill>
    <x:fill>
      <x:patternFill patternType="solid">
        <x:fgColor rgb="FF0F172A"/>
      </x:patternFill>
    </x:fill>
  </x:fills>
  <x:borders count="18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000000"/>
      </x:left>
    </x:border>
    <x:border/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000000"/>
      </x:lef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387">
    <x:xf numFmtId="0" fontId="0" fillId="0" borderId="0" xfId="0"/>
    <x:xf numFmtId="11" fontId="2" fillId="2" borderId="1" xfId="0" applyNumberFormat="1" applyFont="1" applyFill="1" applyBorder="1"/>
    <x:xf numFmtId="0" fontId="3" fillId="2" borderId="1" xfId="0" applyFont="1" applyFill="1" applyBorder="1"/>
    <x:xf numFmtId="0" fontId="3" fillId="3" borderId="1" xfId="0" applyFont="1" applyFill="1" applyBorder="1"/>
    <x:xf numFmtId="0" fontId="3" fillId="3" borderId="2" xfId="0" applyFont="1" applyFill="1" applyBorder="1"/>
    <x:xf numFmtId="0" fontId="4" fillId="0" borderId="0" xfId="0" applyFont="1"/>
    <x:xf numFmtId="0" fontId="5" fillId="0" borderId="0" xfId="0" applyFont="1"/>
    <x:xf numFmtId="0" fontId="3" fillId="0" borderId="0" xfId="0" applyFont="1" applyAlignment="1">
      <x:alignment wrapText="1"/>
    </x:xf>
    <x:xf numFmtId="0" fontId="3" fillId="6" borderId="3" xfId="0" applyFont="1" applyFill="1" applyBorder="1"/>
    <x:xf numFmtId="2" fontId="3" fillId="6" borderId="4" xfId="0" applyNumberFormat="1" applyFont="1" applyFill="1" applyBorder="1"/>
    <x:xf numFmtId="0" fontId="3" fillId="3" borderId="5" xfId="0" applyFont="1" applyFill="1" applyBorder="1" applyAlignment="1">
      <x:alignment wrapText="1"/>
    </x:xf>
    <x:xf numFmtId="0" fontId="3" fillId="3" borderId="1" xfId="0" applyFont="1" applyFill="1" applyBorder="1" applyAlignment="1">
      <x:alignment wrapText="1"/>
    </x:xf>
    <x:xf numFmtId="2" fontId="3" fillId="3" borderId="2" xfId="0" applyNumberFormat="1" applyFont="1" applyFill="1" applyBorder="1"/>
    <x:xf numFmtId="0" fontId="6" fillId="3" borderId="2" xfId="0" applyFont="1" applyFill="1" applyBorder="1"/>
    <x:xf numFmtId="0" fontId="3" fillId="0" borderId="0" xfId="0" applyFont="1"/>
    <x:xf numFmtId="0" fontId="3" fillId="10" borderId="1" xfId="0" applyFont="1" applyFill="1" applyBorder="1" applyAlignment="1">
      <x:alignment wrapText="1"/>
    </x:xf>
    <x:xf numFmtId="0" fontId="3" fillId="11" borderId="1" xfId="0" applyFont="1" applyFill="1" applyBorder="1" applyAlignment="1">
      <x:alignment wrapText="1"/>
    </x:xf>
    <x:xf numFmtId="0" fontId="3" fillId="12" borderId="1" xfId="0" applyFont="1" applyFill="1" applyBorder="1"/>
    <x:xf numFmtId="0" fontId="3" fillId="13" borderId="1" xfId="0" applyFont="1" applyFill="1" applyBorder="1"/>
    <x:xf numFmtId="0" fontId="3" fillId="14" borderId="1" xfId="0" applyFont="1" applyFill="1" applyBorder="1"/>
    <x:xf numFmtId="0" fontId="3" fillId="15" borderId="1" xfId="0" applyFont="1" applyFill="1" applyBorder="1"/>
    <x:xf numFmtId="0" fontId="3" fillId="16" borderId="1" xfId="0" applyFont="1" applyFill="1" applyBorder="1"/>
    <x:xf numFmtId="164" fontId="3" fillId="16" borderId="1" xfId="0" applyNumberFormat="1" applyFont="1" applyFill="1" applyBorder="1"/>
    <x:xf numFmtId="164" fontId="3" fillId="0" borderId="0" xfId="0" applyNumberFormat="1" applyFont="1"/>
    <x:xf numFmtId="164" fontId="3" fillId="12" borderId="1" xfId="0" applyNumberFormat="1" applyFont="1" applyFill="1" applyBorder="1"/>
    <x:xf numFmtId="164" fontId="3" fillId="13" borderId="1" xfId="0" applyNumberFormat="1" applyFont="1" applyFill="1" applyBorder="1"/>
    <x:xf numFmtId="164" fontId="3" fillId="14" borderId="1" xfId="0" applyNumberFormat="1" applyFont="1" applyFill="1" applyBorder="1"/>
    <x:xf numFmtId="164" fontId="3" fillId="15" borderId="1" xfId="0" applyNumberFormat="1" applyFont="1" applyFill="1" applyBorder="1"/>
    <x:xf numFmtId="0" fontId="3" fillId="17" borderId="1" xfId="0" applyFont="1" applyFill="1" applyBorder="1"/>
    <x:xf numFmtId="164" fontId="3" fillId="17" borderId="1" xfId="0" applyNumberFormat="1" applyFont="1" applyFill="1" applyBorder="1"/>
    <x:xf numFmtId="0" fontId="3" fillId="18" borderId="1" xfId="0" applyFont="1" applyFill="1" applyBorder="1"/>
    <x:xf numFmtId="164" fontId="3" fillId="18" borderId="1" xfId="0" applyNumberFormat="1" applyFont="1" applyFill="1" applyBorder="1"/>
    <x:xf numFmtId="0" fontId="1" fillId="0" borderId="0" xfId="0" applyFont="1"/>
    <x:xf numFmtId="0" fontId="1" fillId="20" borderId="0" xfId="0" applyFont="1" applyFill="1"/>
    <x:xf numFmtId="0" fontId="0" fillId="20" borderId="0" xfId="0" applyFill="1"/>
    <x:xf numFmtId="0" fontId="1" fillId="21" borderId="0" xfId="0" applyFont="1" applyFill="1"/>
    <x:xf numFmtId="0" fontId="0" fillId="21" borderId="0" xfId="0" applyFill="1"/>
    <x:xf numFmtId="0" fontId="3" fillId="22" borderId="9" xfId="0" applyFont="1" applyFill="1" applyBorder="1"/>
    <x:xf numFmtId="0" fontId="0" fillId="22" borderId="9" xfId="0" applyFill="1" applyBorder="1"/>
    <x:xf numFmtId="20" fontId="0" fillId="0" borderId="0" xfId="0" applyNumberFormat="1"/>
    <x:xf numFmtId="0" fontId="0" fillId="24" borderId="9" xfId="0" applyFill="1" applyBorder="1"/>
    <x:xf numFmtId="0" fontId="1" fillId="24" borderId="9" xfId="0" applyFont="1" applyFill="1" applyBorder="1"/>
    <x:xf numFmtId="0" fontId="0" fillId="24" borderId="10" xfId="0" applyFill="1" applyBorder="1"/>
    <x:xf numFmtId="0" fontId="0" fillId="0" borderId="8" xfId="0" applyBorder="1"/>
    <x:xf numFmtId="164" fontId="0" fillId="25" borderId="9" xfId="0" applyNumberFormat="1" applyFill="1" applyBorder="1"/>
    <x:xf numFmtId="0" fontId="1" fillId="25" borderId="9" xfId="0" applyFont="1" applyFill="1" applyBorder="1"/>
    <x:xf numFmtId="0" fontId="0" fillId="25" borderId="9" xfId="0" applyFill="1" applyBorder="1"/>
    <x:xf numFmtId="164" fontId="3" fillId="4" borderId="2" xfId="0" applyNumberFormat="1" applyFont="1" applyFill="1" applyBorder="1"/>
    <x:xf numFmtId="164" fontId="3" fillId="5" borderId="2" xfId="0" applyNumberFormat="1" applyFont="1" applyFill="1" applyBorder="1" applyAlignment="1">
      <x:alignment wrapText="1"/>
    </x:xf>
    <x:xf numFmtId="164" fontId="3" fillId="5" borderId="2" xfId="0" applyNumberFormat="1" applyFont="1" applyFill="1" applyBorder="1"/>
    <x:xf numFmtId="164" fontId="3" fillId="4" borderId="2" xfId="0" applyNumberFormat="1" applyFont="1" applyFill="1" applyBorder="1" applyAlignment="1">
      <x:alignment horizontal="right"/>
    </x:xf>
    <x:xf numFmtId="164" fontId="0" fillId="22" borderId="0" xfId="0" applyNumberFormat="1" applyFill="1"/>
    <x:xf numFmtId="164" fontId="0" fillId="0" borderId="0" xfId="0" applyNumberFormat="1"/>
    <x:xf numFmtId="0" fontId="0" fillId="23" borderId="9" xfId="0" applyFill="1" applyBorder="1" applyAlignment="1">
      <x:alignment horizontal="center"/>
    </x:xf>
    <x:xf numFmtId="0" fontId="3" fillId="7" borderId="6" xfId="0" applyFont="1" applyFill="1" applyBorder="1" applyAlignment="1">
      <x:alignment horizontal="center"/>
    </x:xf>
    <x:xf numFmtId="0" fontId="7" fillId="0" borderId="7" xfId="0" applyFont="1" applyBorder="1"/>
    <x:xf numFmtId="0" fontId="7" fillId="0" borderId="8" xfId="0" applyFont="1" applyBorder="1"/>
    <x:xf numFmtId="0" fontId="3" fillId="8" borderId="6" xfId="0" applyFont="1" applyFill="1" applyBorder="1" applyAlignment="1">
      <x:alignment horizontal="center"/>
    </x:xf>
    <x:xf numFmtId="0" fontId="3" fillId="9" borderId="6" xfId="0" applyFont="1" applyFill="1" applyBorder="1" applyAlignment="1">
      <x:alignment horizontal="center"/>
    </x:xf>
    <x:xf numFmtId="0" fontId="1" fillId="19" borderId="0" xfId="0" applyFont="1" applyFill="1" applyAlignment="1">
      <x:alignment horizontal="center"/>
    </x:xf>
    <x:xf numFmtId="0" fontId="0" fillId="22" borderId="9" xfId="0" applyFill="1" applyBorder="1" applyAlignment="1">
      <x:alignment horizontal="center"/>
    </x:xf>
    <x:xf numFmtId="0" fontId="0" fillId="0" borderId="11" xfId="0" applyNumberFormat="1" applyFont="1" applyFill="1" applyBorder="1"/>
    <x:xf numFmtId="11" fontId="2" fillId="2" borderId="11" xfId="0" applyNumberFormat="1" applyFont="1" applyFill="1" applyBorder="1"/>
    <x:xf numFmtId="0" fontId="0" fillId="2" borderId="11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4" fillId="0" borderId="11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6" borderId="13" xfId="0" applyNumberFormat="1" applyFont="1" applyFill="1" applyBorder="1"/>
    <x:xf numFmtId="2" fontId="0" fillId="6" borderId="14" xfId="0" applyNumberFormat="1" applyFont="1" applyFill="1" applyBorder="1"/>
    <x:xf numFmtId="0" fontId="0" fillId="3" borderId="15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2" fontId="0" fillId="3" borderId="12" xfId="0" applyNumberFormat="1" applyFont="1" applyFill="1" applyBorder="1"/>
    <x:xf numFmtId="0" fontId="6" fillId="3" borderId="12" xfId="0" applyNumberFormat="1" applyFont="1" applyFill="1" applyBorder="1"/>
    <x:xf numFmtId="0" fontId="0" fillId="10" borderId="11" xfId="0" applyNumberFormat="1" applyFont="1" applyFill="1" applyBorder="1" applyAlignment="1">
      <x:alignment wrapText="1"/>
    </x:xf>
    <x:xf numFmtId="0" fontId="0" fillId="11" borderId="11" xfId="0" applyNumberFormat="1" applyFont="1" applyFill="1" applyBorder="1" applyAlignment="1">
      <x:alignment wrapText="1"/>
    </x:xf>
    <x:xf numFmtId="0" fontId="0" fillId="12" borderId="11" xfId="0" applyNumberFormat="1" applyFont="1" applyFill="1" applyBorder="1"/>
    <x:xf numFmtId="0" fontId="0" fillId="13" borderId="11" xfId="0" applyNumberFormat="1" applyFont="1" applyFill="1" applyBorder="1"/>
    <x:xf numFmtId="0" fontId="0" fillId="14" borderId="11" xfId="0" applyNumberFormat="1" applyFont="1" applyFill="1" applyBorder="1"/>
    <x:xf numFmtId="0" fontId="0" fillId="15" borderId="11" xfId="0" applyNumberFormat="1" applyFont="1" applyFill="1" applyBorder="1"/>
    <x:xf numFmtId="0" fontId="0" fillId="16" borderId="11" xfId="0" applyNumberFormat="1" applyFont="1" applyFill="1" applyBorder="1"/>
    <x:xf numFmtId="164" fontId="0" fillId="16" borderId="11" xfId="0" applyNumberFormat="1" applyFont="1" applyFill="1" applyBorder="1"/>
    <x:xf numFmtId="164" fontId="0" fillId="0" borderId="11" xfId="0" applyNumberFormat="1" applyFont="1" applyFill="1" applyBorder="1"/>
    <x:xf numFmtId="164" fontId="0" fillId="12" borderId="11" xfId="0" applyNumberFormat="1" applyFont="1" applyFill="1" applyBorder="1"/>
    <x:xf numFmtId="164" fontId="0" fillId="13" borderId="11" xfId="0" applyNumberFormat="1" applyFont="1" applyFill="1" applyBorder="1"/>
    <x:xf numFmtId="164" fontId="0" fillId="14" borderId="11" xfId="0" applyNumberFormat="1" applyFont="1" applyFill="1" applyBorder="1"/>
    <x:xf numFmtId="164" fontId="0" fillId="15" borderId="11" xfId="0" applyNumberFormat="1" applyFont="1" applyFill="1" applyBorder="1"/>
    <x:xf numFmtId="0" fontId="0" fillId="17" borderId="11" xfId="0" applyNumberFormat="1" applyFont="1" applyFill="1" applyBorder="1"/>
    <x:xf numFmtId="164" fontId="0" fillId="17" borderId="11" xfId="0" applyNumberFormat="1" applyFont="1" applyFill="1" applyBorder="1"/>
    <x:xf numFmtId="0" fontId="0" fillId="18" borderId="11" xfId="0" applyNumberFormat="1" applyFont="1" applyFill="1" applyBorder="1"/>
    <x:xf numFmtId="164" fontId="0" fillId="18" borderId="11" xfId="0" applyNumberFormat="1" applyFont="1" applyFill="1" applyBorder="1"/>
    <x:xf numFmtId="0" fontId="0" fillId="20" borderId="11" xfId="0" applyNumberFormat="1" applyFont="1" applyFill="1" applyBorder="1"/>
    <x:xf numFmtId="0" fontId="0" fillId="21" borderId="11" xfId="0" applyNumberFormat="1" applyFont="1" applyFill="1" applyBorder="1"/>
    <x:xf numFmtId="0" fontId="0" fillId="4" borderId="16" xfId="0" applyNumberFormat="1" applyFont="1" applyFill="1" applyBorder="1"/>
    <x:xf numFmtId="20" fontId="0" fillId="0" borderId="11" xfId="0" applyNumberFormat="1" applyFont="1" applyFill="1" applyBorder="1"/>
    <x:xf numFmtId="0" fontId="0" fillId="24" borderId="16" xfId="0" applyNumberFormat="1" applyFont="1" applyFill="1" applyBorder="1"/>
    <x:xf numFmtId="0" fontId="0" fillId="24" borderId="17" xfId="0" applyNumberFormat="1" applyFont="1" applyFill="1" applyBorder="1"/>
    <x:xf numFmtId="164" fontId="0" fillId="17" borderId="16" xfId="0" applyNumberFormat="1" applyFont="1" applyFill="1" applyBorder="1"/>
    <x:xf numFmtId="0" fontId="0" fillId="17" borderId="16" xfId="0" applyNumberFormat="1" applyFont="1" applyFill="1" applyBorder="1"/>
    <x:xf numFmtId="164" fontId="0" fillId="4" borderId="12" xfId="0" applyNumberFormat="1" applyFont="1" applyFill="1" applyBorder="1"/>
    <x:xf numFmtId="164" fontId="0" fillId="5" borderId="12" xfId="0" applyNumberFormat="1" applyFont="1" applyFill="1" applyBorder="1" applyAlignment="1">
      <x:alignment wrapText="1"/>
    </x:xf>
    <x:xf numFmtId="164" fontId="0" fillId="5" borderId="12" xfId="0" applyNumberFormat="1" applyFont="1" applyFill="1" applyBorder="1"/>
    <x:xf numFmtId="164" fontId="0" fillId="4" borderId="12" xfId="0" applyNumberFormat="1" applyFont="1" applyFill="1" applyBorder="1" applyAlignment="1">
      <x:alignment horizontal="right"/>
    </x:xf>
    <x:xf numFmtId="164" fontId="0" fillId="4" borderId="11" xfId="0" applyNumberFormat="1" applyFont="1" applyFill="1" applyBorder="1"/>
    <x:xf numFmtId="0" fontId="0" fillId="18" borderId="16" xfId="0" applyNumberFormat="1" applyFont="1" applyFill="1" applyBorder="1" applyAlignment="1">
      <x:alignment horizontal="center"/>
    </x:xf>
    <x:xf numFmtId="0" fontId="0" fillId="7" borderId="11" xfId="0" applyNumberFormat="1" applyFont="1" applyFill="1" applyBorder="1" applyAlignment="1">
      <x:alignment horizontal="center"/>
    </x:xf>
    <x:xf numFmtId="0" fontId="7" fillId="0" borderId="11" xfId="0" applyNumberFormat="1" applyFont="1" applyFill="1" applyBorder="1"/>
    <x:xf numFmtId="0" fontId="0" fillId="8" borderId="11" xfId="0" applyNumberFormat="1" applyFont="1" applyFill="1" applyBorder="1" applyAlignment="1">
      <x:alignment horizontal="center"/>
    </x:xf>
    <x:xf numFmtId="0" fontId="0" fillId="9" borderId="11" xfId="0" applyNumberFormat="1" applyFont="1" applyFill="1" applyBorder="1" applyAlignment="1">
      <x:alignment horizontal="center"/>
    </x:xf>
    <x:xf numFmtId="0" fontId="0" fillId="19" borderId="11" xfId="0" applyNumberFormat="1" applyFont="1" applyFill="1" applyBorder="1" applyAlignment="1">
      <x:alignment horizontal="center"/>
    </x:xf>
    <x:xf numFmtId="0" fontId="0" fillId="4" borderId="16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/>
    <x:xf numFmtId="0" fontId="8" fillId="26" borderId="0" xfId="0" applyNumberFormat="1" applyFont="1" applyFill="1" applyBorder="1"/>
    <x:xf numFmtId="0" fontId="8" fillId="26" borderId="0" xfId="0" applyNumberFormat="1" applyFont="1" applyFill="1" applyBorder="1" applyAlignment="1">
      <x:alignment horizontal="left"/>
    </x:xf>
    <x:xf numFmtId="0" fontId="8" fillId="26" borderId="0" xfId="0" applyNumberFormat="1" applyFont="1" applyFill="1" applyBorder="1" applyAlignment="1">
      <x:alignment horizontal="left" vertical="center"/>
    </x:xf>
    <x:xf numFmtId="0" fontId="0" fillId="26" borderId="11" xfId="0" applyNumberFormat="1" applyFont="1" applyFill="1" applyBorder="1"/>
    <x:xf numFmtId="0" fontId="8" fillId="26" borderId="11" xfId="0" applyNumberFormat="1" applyFont="1" applyFill="1" applyBorder="1"/>
    <x:xf numFmtId="0" fontId="8" fillId="26" borderId="11" xfId="0" applyNumberFormat="1" applyFont="1" applyFill="1" applyBorder="1" applyAlignment="1">
      <x:alignment horizontal="left"/>
    </x:xf>
    <x:xf numFmtId="0" fontId="8" fillId="26" borderId="11" xfId="0" applyNumberFormat="1" applyFont="1" applyFill="1" applyBorder="1" applyAlignment="1">
      <x:alignment horizontal="left" vertical="center"/>
    </x:xf>
    <x:xf numFmtId="0" fontId="0" fillId="27" borderId="0" xfId="0" applyNumberFormat="1" applyFont="1" applyFill="1" applyBorder="1"/>
    <x:xf numFmtId="0" fontId="9" fillId="27" borderId="0" xfId="0" applyNumberFormat="1" applyFont="1" applyFill="1" applyBorder="1"/>
    <x:xf numFmtId="0" fontId="9" fillId="27" borderId="0" xfId="0" applyNumberFormat="1" applyFont="1" applyFill="1" applyBorder="1" applyAlignment="1">
      <x:alignment vertical="center"/>
    </x:xf>
    <x:xf numFmtId="0" fontId="0" fillId="27" borderId="11" xfId="0" applyNumberFormat="1" applyFont="1" applyFill="1" applyBorder="1"/>
    <x:xf numFmtId="0" fontId="9" fillId="27" borderId="11" xfId="0" applyNumberFormat="1" applyFont="1" applyFill="1" applyBorder="1"/>
    <x:xf numFmtId="0" fontId="9" fillId="27" borderId="1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10" fillId="28" borderId="0" xfId="0" applyNumberFormat="1" applyFont="1" applyFill="1" applyBorder="1"/>
    <x:xf numFmtId="0" fontId="0" fillId="28" borderId="11" xfId="0" applyNumberFormat="1" applyFont="1" applyFill="1" applyBorder="1"/>
    <x:xf numFmtId="0" fontId="10" fillId="28" borderId="11" xfId="0" applyNumberFormat="1" applyFont="1" applyFill="1" applyBorder="1"/>
    <x:xf numFmtId="0" fontId="0" fillId="29" borderId="0" xfId="0" applyNumberFormat="1" applyFont="1" applyFill="1" applyBorder="1"/>
    <x:xf numFmtId="0" fontId="11" fillId="29" borderId="0" xfId="0" applyNumberFormat="1" applyFont="1" applyFill="1" applyBorder="1"/>
    <x:xf numFmtId="0" fontId="0" fillId="29" borderId="11" xfId="0" applyNumberFormat="1" applyFont="1" applyFill="1" applyBorder="1"/>
    <x:xf numFmtId="0" fontId="11" fillId="29" borderId="11" xfId="0" applyNumberFormat="1" applyFont="1" applyFill="1" applyBorder="1"/>
    <x:xf numFmtId="0" fontId="0" fillId="30" borderId="0" xfId="0" applyNumberFormat="1" applyFont="1" applyFill="1" applyBorder="1"/>
    <x:xf numFmtId="0" fontId="12" fillId="30" borderId="0" xfId="0" applyNumberFormat="1" applyFont="1" applyFill="1" applyBorder="1"/>
    <x:xf numFmtId="0" fontId="0" fillId="30" borderId="11" xfId="0" applyNumberFormat="1" applyFont="1" applyFill="1" applyBorder="1"/>
    <x:xf numFmtId="0" fontId="12" fillId="30" borderId="11" xfId="0" applyNumberFormat="1" applyFont="1" applyFill="1" applyBorder="1"/>
    <x:xf numFmtId="0" fontId="13" fillId="27" borderId="0" xfId="0" applyNumberFormat="1" applyFont="1" applyFill="1" applyBorder="1"/>
    <x:xf numFmtId="0" fontId="13" fillId="27" borderId="0" xfId="0" applyNumberFormat="1" applyFont="1" applyFill="1" applyBorder="1" applyAlignment="1">
      <x:alignment horizontal="center"/>
    </x:xf>
    <x:xf numFmtId="0" fontId="13" fillId="27" borderId="11" xfId="0" applyNumberFormat="1" applyFont="1" applyFill="1" applyBorder="1"/>
    <x:xf numFmtId="0" fontId="13" fillId="27" borderId="11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0" fillId="31" borderId="11" xfId="0" applyNumberFormat="1" applyFont="1" applyFill="1" applyBorder="1"/>
    <x:xf numFmtId="0" fontId="14" fillId="31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4" fillId="31" borderId="0" xfId="0" applyNumberFormat="1" applyFont="1" applyFill="1" applyBorder="1" applyAlignment="1">
      <x:alignment wrapText="1"/>
    </x:xf>
    <x:xf numFmtId="0" fontId="11" fillId="29" borderId="0" xfId="0" applyNumberFormat="1" applyFont="1" applyFill="1" applyBorder="1" applyAlignment="1">
      <x:alignment wrapText="1"/>
    </x:xf>
    <x:xf numFmtId="0" fontId="12" fillId="30" borderId="0" xfId="0" applyNumberFormat="1" applyFont="1" applyFill="1" applyBorder="1" applyAlignment="1">
      <x:alignment wrapText="1"/>
    </x:xf>
    <x:xf numFmtId="0" fontId="14" fillId="31" borderId="11" xfId="0" applyNumberFormat="1" applyFont="1" applyFill="1" applyBorder="1" applyAlignment="1">
      <x:alignment wrapText="1"/>
    </x:xf>
    <x:xf numFmtId="0" fontId="11" fillId="29" borderId="11" xfId="0" applyNumberFormat="1" applyFont="1" applyFill="1" applyBorder="1" applyAlignment="1">
      <x:alignment wrapText="1"/>
    </x:xf>
    <x:xf numFmtId="0" fontId="12" fillId="30" borderId="11" xfId="0" applyNumberFormat="1" applyFont="1" applyFill="1" applyBorder="1" applyAlignment="1">
      <x:alignment wrapText="1"/>
    </x:xf>
    <x:xf numFmtId="164" fontId="14" fillId="31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164" fontId="11" fillId="29" borderId="0" xfId="0" applyNumberFormat="1" applyFont="1" applyFill="1" applyBorder="1" applyAlignment="1">
      <x:alignment wrapText="1"/>
    </x:xf>
    <x:xf numFmtId="164" fontId="12" fillId="30" borderId="0" xfId="0" applyNumberFormat="1" applyFont="1" applyFill="1" applyBorder="1" applyAlignment="1">
      <x:alignment wrapText="1"/>
    </x:xf>
    <x:xf numFmtId="164" fontId="14" fillId="31" borderId="11" xfId="0" applyNumberFormat="1" applyFont="1" applyFill="1" applyBorder="1" applyAlignment="1">
      <x:alignment wrapText="1"/>
    </x:xf>
    <x:xf numFmtId="164" fontId="0" fillId="0" borderId="11" xfId="0" applyNumberFormat="1" applyFont="1" applyFill="1" applyBorder="1" applyAlignment="1">
      <x:alignment wrapText="1"/>
    </x:xf>
    <x:xf numFmtId="164" fontId="11" fillId="29" borderId="11" xfId="0" applyNumberFormat="1" applyFont="1" applyFill="1" applyBorder="1" applyAlignment="1">
      <x:alignment wrapText="1"/>
    </x:xf>
    <x:xf numFmtId="164" fontId="12" fillId="30" borderId="11" xfId="0" applyNumberFormat="1" applyFont="1" applyFill="1" applyBorder="1" applyAlignment="1">
      <x:alignment wrapText="1"/>
    </x:xf>
    <x:xf numFmtId="200" fontId="14" fillId="31" borderId="0" xfId="0" applyNumberFormat="1" applyFont="1" applyFill="1" applyBorder="1" applyAlignment="1">
      <x:alignment wrapText="1"/>
    </x:xf>
    <x:xf numFmtId="200" fontId="14" fillId="31" borderId="11" xfId="0" applyNumberFormat="1" applyFont="1" applyFill="1" applyBorder="1" applyAlignment="1">
      <x:alignment wrapText="1"/>
    </x:xf>
    <x:xf numFmtId="201" fontId="14" fillId="31" borderId="0" xfId="0" applyNumberFormat="1" applyFont="1" applyFill="1" applyBorder="1" applyAlignment="1">
      <x:alignment wrapText="1"/>
    </x:xf>
    <x:xf numFmtId="201" fontId="14" fillId="31" borderId="11" xfId="0" applyNumberFormat="1" applyFont="1" applyFill="1" applyBorder="1" applyAlignment="1">
      <x:alignment wrapText="1"/>
    </x:xf>
    <x:xf numFmtId="11" fontId="2" fillId="26" borderId="0" xfId="0" applyNumberFormat="1" applyFont="1" applyFill="1" applyBorder="1"/>
    <x:xf numFmtId="11" fontId="15" fillId="26" borderId="0" xfId="0" applyNumberFormat="1" applyFont="1" applyFill="1" applyBorder="1"/>
    <x:xf numFmtId="0" fontId="15" fillId="26" borderId="0" xfId="0" applyNumberFormat="1" applyFont="1" applyFill="1" applyBorder="1"/>
    <x:xf numFmtId="11" fontId="2" fillId="26" borderId="11" xfId="0" applyNumberFormat="1" applyFont="1" applyFill="1" applyBorder="1"/>
    <x:xf numFmtId="11" fontId="15" fillId="26" borderId="11" xfId="0" applyNumberFormat="1" applyFont="1" applyFill="1" applyBorder="1"/>
    <x:xf numFmtId="0" fontId="15" fillId="26" borderId="1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164" fontId="0" fillId="4" borderId="2" xfId="0" applyNumberFormat="1" applyFont="1" applyFill="1" applyBorder="1" applyAlignment="1">
      <x:alignment wrapText="1"/>
    </x:xf>
    <x:xf numFmtId="164" fontId="0" fillId="5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164" fontId="0" fillId="4" borderId="2" xfId="0" applyNumberFormat="1" applyFont="1" applyFill="1" applyBorder="1" applyAlignment="1">
      <x:alignment horizontal="right" wrapText="1"/>
    </x:xf>
    <x:xf numFmtId="2" fontId="0" fillId="3" borderId="2" xfId="0" applyNumberFormat="1" applyFont="1" applyFill="1" applyBorder="1" applyAlignment="1">
      <x:alignment wrapText="1"/>
    </x:xf>
    <x:xf numFmtId="164" fontId="0" fillId="4" borderId="0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164" fontId="0" fillId="4" borderId="12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164" fontId="0" fillId="4" borderId="12" xfId="0" applyNumberFormat="1" applyFont="1" applyFill="1" applyBorder="1" applyAlignment="1">
      <x:alignment horizontal="right" wrapText="1"/>
    </x:xf>
    <x:xf numFmtId="2" fontId="0" fillId="3" borderId="12" xfId="0" applyNumberFormat="1" applyFont="1" applyFill="1" applyBorder="1" applyAlignment="1">
      <x:alignment wrapText="1"/>
    </x:xf>
    <x:xf numFmtId="164" fontId="0" fillId="4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0" fillId="32" borderId="0" xfId="0" applyNumberFormat="1" applyFont="1" applyFill="1" applyBorder="1" applyAlignment="1">
      <x:alignment wrapText="1"/>
    </x:xf>
    <x:xf numFmtId="0" fontId="0" fillId="32" borderId="2" xfId="0" applyNumberFormat="1" applyFont="1" applyFill="1" applyBorder="1" applyAlignment="1">
      <x:alignment wrapText="1"/>
    </x:xf>
    <x:xf numFmtId="0" fontId="0" fillId="32" borderId="5" xfId="0" applyNumberFormat="1" applyFont="1" applyFill="1" applyBorder="1" applyAlignment="1">
      <x:alignment wrapText="1"/>
    </x:xf>
    <x:xf numFmtId="2" fontId="0" fillId="32" borderId="2" xfId="0" applyNumberFormat="1" applyFont="1" applyFill="1" applyBorder="1" applyAlignment="1">
      <x:alignment wrapText="1"/>
    </x:xf>
    <x:xf numFmtId="0" fontId="6" fillId="32" borderId="2" xfId="0" applyNumberFormat="1" applyFont="1" applyFill="1" applyBorder="1" applyAlignment="1">
      <x:alignment wrapText="1"/>
    </x:xf>
    <x:xf numFmtId="0" fontId="16" fillId="32" borderId="0" xfId="0" applyNumberFormat="1" applyFont="1" applyFill="1" applyBorder="1" applyAlignment="1">
      <x:alignment wrapText="1"/>
    </x:xf>
    <x:xf numFmtId="0" fontId="16" fillId="32" borderId="2" xfId="0" applyNumberFormat="1" applyFont="1" applyFill="1" applyBorder="1" applyAlignment="1">
      <x:alignment wrapText="1"/>
    </x:xf>
    <x:xf numFmtId="0" fontId="16" fillId="32" borderId="5" xfId="0" applyNumberFormat="1" applyFont="1" applyFill="1" applyBorder="1" applyAlignment="1">
      <x:alignment wrapText="1"/>
    </x:xf>
    <x:xf numFmtId="2" fontId="16" fillId="32" borderId="2" xfId="0" applyNumberFormat="1" applyFont="1" applyFill="1" applyBorder="1" applyAlignment="1">
      <x:alignment wrapText="1"/>
    </x:xf>
    <x:xf numFmtId="0" fontId="0" fillId="32" borderId="11" xfId="0" applyNumberFormat="1" applyFont="1" applyFill="1" applyBorder="1" applyAlignment="1">
      <x:alignment wrapText="1"/>
    </x:xf>
    <x:xf numFmtId="0" fontId="0" fillId="32" borderId="12" xfId="0" applyNumberFormat="1" applyFont="1" applyFill="1" applyBorder="1" applyAlignment="1">
      <x:alignment wrapText="1"/>
    </x:xf>
    <x:xf numFmtId="0" fontId="0" fillId="32" borderId="15" xfId="0" applyNumberFormat="1" applyFont="1" applyFill="1" applyBorder="1" applyAlignment="1">
      <x:alignment wrapText="1"/>
    </x:xf>
    <x:xf numFmtId="2" fontId="0" fillId="32" borderId="12" xfId="0" applyNumberFormat="1" applyFont="1" applyFill="1" applyBorder="1" applyAlignment="1">
      <x:alignment wrapText="1"/>
    </x:xf>
    <x:xf numFmtId="0" fontId="6" fillId="32" borderId="12" xfId="0" applyNumberFormat="1" applyFont="1" applyFill="1" applyBorder="1" applyAlignment="1">
      <x:alignment wrapText="1"/>
    </x:xf>
    <x:xf numFmtId="0" fontId="16" fillId="32" borderId="11" xfId="0" applyNumberFormat="1" applyFont="1" applyFill="1" applyBorder="1" applyAlignment="1">
      <x:alignment wrapText="1"/>
    </x:xf>
    <x:xf numFmtId="0" fontId="16" fillId="32" borderId="12" xfId="0" applyNumberFormat="1" applyFont="1" applyFill="1" applyBorder="1" applyAlignment="1">
      <x:alignment wrapText="1"/>
    </x:xf>
    <x:xf numFmtId="0" fontId="16" fillId="32" borderId="15" xfId="0" applyNumberFormat="1" applyFont="1" applyFill="1" applyBorder="1" applyAlignment="1">
      <x:alignment wrapText="1"/>
    </x:xf>
    <x:xf numFmtId="2" fontId="16" fillId="32" borderId="12" xfId="0" applyNumberFormat="1" applyFont="1" applyFill="1" applyBorder="1" applyAlignment="1">
      <x:alignment wrapText="1"/>
    </x:xf>
    <x:xf numFmtId="164" fontId="0" fillId="32" borderId="2" xfId="0" applyNumberFormat="1" applyFont="1" applyFill="1" applyBorder="1" applyAlignment="1">
      <x:alignment wrapText="1"/>
    </x:xf>
    <x:xf numFmtId="164" fontId="0" fillId="32" borderId="2" xfId="0" applyNumberFormat="1" applyFont="1" applyFill="1" applyBorder="1" applyAlignment="1">
      <x:alignment horizontal="right" wrapText="1"/>
    </x:xf>
    <x:xf numFmtId="164" fontId="0" fillId="32" borderId="0" xfId="0" applyNumberFormat="1" applyFont="1" applyFill="1" applyBorder="1" applyAlignment="1">
      <x:alignment wrapText="1"/>
    </x:xf>
    <x:xf numFmtId="164" fontId="17" fillId="32" borderId="2" xfId="0" applyNumberFormat="1" applyFont="1" applyFill="1" applyBorder="1" applyAlignment="1">
      <x:alignment wrapText="1"/>
    </x:xf>
    <x:xf numFmtId="164" fontId="17" fillId="32" borderId="2" xfId="0" applyNumberFormat="1" applyFont="1" applyFill="1" applyBorder="1" applyAlignment="1">
      <x:alignment horizontal="right" wrapText="1"/>
    </x:xf>
    <x:xf numFmtId="164" fontId="17" fillId="32" borderId="0" xfId="0" applyNumberFormat="1" applyFont="1" applyFill="1" applyBorder="1" applyAlignment="1">
      <x:alignment wrapText="1"/>
    </x:xf>
    <x:xf numFmtId="164" fontId="0" fillId="32" borderId="12" xfId="0" applyNumberFormat="1" applyFont="1" applyFill="1" applyBorder="1" applyAlignment="1">
      <x:alignment wrapText="1"/>
    </x:xf>
    <x:xf numFmtId="164" fontId="0" fillId="32" borderId="12" xfId="0" applyNumberFormat="1" applyFont="1" applyFill="1" applyBorder="1" applyAlignment="1">
      <x:alignment horizontal="right" wrapText="1"/>
    </x:xf>
    <x:xf numFmtId="164" fontId="0" fillId="32" borderId="11" xfId="0" applyNumberFormat="1" applyFont="1" applyFill="1" applyBorder="1" applyAlignment="1">
      <x:alignment wrapText="1"/>
    </x:xf>
    <x:xf numFmtId="164" fontId="17" fillId="32" borderId="12" xfId="0" applyNumberFormat="1" applyFont="1" applyFill="1" applyBorder="1" applyAlignment="1">
      <x:alignment wrapText="1"/>
    </x:xf>
    <x:xf numFmtId="164" fontId="17" fillId="32" borderId="12" xfId="0" applyNumberFormat="1" applyFont="1" applyFill="1" applyBorder="1" applyAlignment="1">
      <x:alignment horizontal="right" wrapText="1"/>
    </x:xf>
    <x:xf numFmtId="164" fontId="17" fillId="32" borderId="11" xfId="0" applyNumberFormat="1" applyFont="1" applyFill="1" applyBorder="1" applyAlignment="1">
      <x:alignment wrapText="1"/>
    </x:xf>
    <x:xf numFmtId="0" fontId="0" fillId="32" borderId="3" xfId="0" applyNumberFormat="1" applyFont="1" applyFill="1" applyBorder="1" applyAlignment="1">
      <x:alignment wrapText="1"/>
    </x:xf>
    <x:xf numFmtId="0" fontId="18" fillId="32" borderId="0" xfId="0" applyNumberFormat="1" applyFont="1" applyFill="1" applyBorder="1" applyAlignment="1">
      <x:alignment wrapText="1"/>
    </x:xf>
    <x:xf numFmtId="0" fontId="18" fillId="32" borderId="3" xfId="0" applyNumberFormat="1" applyFont="1" applyFill="1" applyBorder="1" applyAlignment="1">
      <x:alignment wrapText="1"/>
    </x:xf>
    <x:xf numFmtId="0" fontId="0" fillId="32" borderId="13" xfId="0" applyNumberFormat="1" applyFont="1" applyFill="1" applyBorder="1" applyAlignment="1">
      <x:alignment wrapText="1"/>
    </x:xf>
    <x:xf numFmtId="0" fontId="18" fillId="32" borderId="11" xfId="0" applyNumberFormat="1" applyFont="1" applyFill="1" applyBorder="1" applyAlignment="1">
      <x:alignment wrapText="1"/>
    </x:xf>
    <x:xf numFmtId="0" fontId="18" fillId="32" borderId="13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0" fillId="33" borderId="9" xfId="0" applyNumberFormat="1" applyFont="1" applyFill="1" applyBorder="1" applyAlignment="1">
      <x:alignment horizontal="center"/>
    </x:xf>
    <x:xf numFmtId="0" fontId="19" fillId="33" borderId="0" xfId="0" applyNumberFormat="1" applyFont="1" applyFill="1" applyBorder="1"/>
    <x:xf numFmtId="0" fontId="19" fillId="33" borderId="9" xfId="0" applyNumberFormat="1" applyFont="1" applyFill="1" applyBorder="1" applyAlignment="1">
      <x:alignment horizontal="center"/>
    </x:xf>
    <x:xf numFmtId="0" fontId="0" fillId="33" borderId="11" xfId="0" applyNumberFormat="1" applyFont="1" applyFill="1" applyBorder="1"/>
    <x:xf numFmtId="0" fontId="0" fillId="33" borderId="16" xfId="0" applyNumberFormat="1" applyFont="1" applyFill="1" applyBorder="1" applyAlignment="1">
      <x:alignment horizontal="center"/>
    </x:xf>
    <x:xf numFmtId="0" fontId="19" fillId="33" borderId="11" xfId="0" applyNumberFormat="1" applyFont="1" applyFill="1" applyBorder="1"/>
    <x:xf numFmtId="0" fontId="19" fillId="33" borderId="16" xfId="0" applyNumberFormat="1" applyFont="1" applyFill="1" applyBorder="1" applyAlignment="1">
      <x:alignment horizontal="center"/>
    </x:xf>
    <x:xf numFmtId="0" fontId="0" fillId="33" borderId="9" xfId="0" applyNumberFormat="1" applyFont="1" applyFill="1" applyBorder="1"/>
    <x:xf numFmtId="0" fontId="16" fillId="33" borderId="9" xfId="0" applyNumberFormat="1" applyFont="1" applyFill="1" applyBorder="1" applyAlignment="1">
      <x:alignment horizontal="center"/>
    </x:xf>
    <x:xf numFmtId="0" fontId="16" fillId="33" borderId="0" xfId="0" applyNumberFormat="1" applyFont="1" applyFill="1" applyBorder="1"/>
    <x:xf numFmtId="0" fontId="16" fillId="33" borderId="9" xfId="0" applyNumberFormat="1" applyFont="1" applyFill="1" applyBorder="1"/>
    <x:xf numFmtId="0" fontId="0" fillId="33" borderId="16" xfId="0" applyNumberFormat="1" applyFont="1" applyFill="1" applyBorder="1"/>
    <x:xf numFmtId="0" fontId="16" fillId="33" borderId="16" xfId="0" applyNumberFormat="1" applyFont="1" applyFill="1" applyBorder="1" applyAlignment="1">
      <x:alignment horizontal="center"/>
    </x:xf>
    <x:xf numFmtId="0" fontId="16" fillId="33" borderId="11" xfId="0" applyNumberFormat="1" applyFont="1" applyFill="1" applyBorder="1"/>
    <x:xf numFmtId="0" fontId="16" fillId="33" borderId="16" xfId="0" applyNumberFormat="1" applyFont="1" applyFill="1" applyBorder="1"/>
    <x:xf numFmtId="0" fontId="16" fillId="29" borderId="0" xfId="0" applyNumberFormat="1" applyFont="1" applyFill="1" applyBorder="1"/>
    <x:xf numFmtId="0" fontId="16" fillId="29" borderId="11" xfId="0" applyNumberFormat="1" applyFont="1" applyFill="1" applyBorder="1"/>
    <x:xf numFmtId="0" fontId="0" fillId="34" borderId="0" xfId="0" applyNumberFormat="1" applyFont="1" applyFill="1" applyBorder="1" applyAlignment="1">
      <x:alignment horizontal="center"/>
    </x:xf>
    <x:xf numFmtId="0" fontId="7" fillId="34" borderId="0" xfId="0" applyNumberFormat="1" applyFont="1" applyFill="1" applyBorder="1"/>
    <x:xf numFmtId="0" fontId="13" fillId="34" borderId="0" xfId="0" applyNumberFormat="1" applyFont="1" applyFill="1" applyBorder="1" applyAlignment="1">
      <x:alignment horizontal="center"/>
    </x:xf>
    <x:xf numFmtId="0" fontId="13" fillId="34" borderId="0" xfId="0" applyNumberFormat="1" applyFont="1" applyFill="1" applyBorder="1"/>
    <x:xf numFmtId="0" fontId="0" fillId="34" borderId="11" xfId="0" applyNumberFormat="1" applyFont="1" applyFill="1" applyBorder="1" applyAlignment="1">
      <x:alignment horizontal="center"/>
    </x:xf>
    <x:xf numFmtId="0" fontId="7" fillId="34" borderId="11" xfId="0" applyNumberFormat="1" applyFont="1" applyFill="1" applyBorder="1"/>
    <x:xf numFmtId="0" fontId="13" fillId="34" borderId="11" xfId="0" applyNumberFormat="1" applyFont="1" applyFill="1" applyBorder="1" applyAlignment="1">
      <x:alignment horizontal="center"/>
    </x:xf>
    <x:xf numFmtId="0" fontId="13" fillId="34" borderId="11" xfId="0" applyNumberFormat="1" applyFont="1" applyFill="1" applyBorder="1"/>
    <x:xf numFmtId="164" fontId="0" fillId="33" borderId="0" xfId="0" applyNumberFormat="1" applyFont="1" applyFill="1" applyBorder="1"/>
    <x:xf numFmtId="164" fontId="0" fillId="33" borderId="11" xfId="0" applyNumberFormat="1" applyFont="1" applyFill="1" applyBorder="1"/>
    <x:xf numFmtId="0" fontId="0" fillId="35" borderId="0" xfId="0" applyNumberFormat="1" applyFont="1" applyFill="1" applyBorder="1" applyAlignment="1">
      <x:alignment horizontal="center"/>
    </x:xf>
    <x:xf numFmtId="0" fontId="7" fillId="35" borderId="0" xfId="0" applyNumberFormat="1" applyFont="1" applyFill="1" applyBorder="1"/>
    <x:xf numFmtId="0" fontId="13" fillId="35" borderId="0" xfId="0" applyNumberFormat="1" applyFont="1" applyFill="1" applyBorder="1" applyAlignment="1">
      <x:alignment horizontal="center"/>
    </x:xf>
    <x:xf numFmtId="0" fontId="13" fillId="35" borderId="0" xfId="0" applyNumberFormat="1" applyFont="1" applyFill="1" applyBorder="1"/>
    <x:xf numFmtId="0" fontId="0" fillId="35" borderId="11" xfId="0" applyNumberFormat="1" applyFont="1" applyFill="1" applyBorder="1" applyAlignment="1">
      <x:alignment horizontal="center"/>
    </x:xf>
    <x:xf numFmtId="0" fontId="7" fillId="35" borderId="11" xfId="0" applyNumberFormat="1" applyFont="1" applyFill="1" applyBorder="1"/>
    <x:xf numFmtId="0" fontId="13" fillId="35" borderId="11" xfId="0" applyNumberFormat="1" applyFont="1" applyFill="1" applyBorder="1" applyAlignment="1">
      <x:alignment horizontal="center"/>
    </x:xf>
    <x:xf numFmtId="0" fontId="13" fillId="35" borderId="11" xfId="0" applyNumberFormat="1" applyFont="1" applyFill="1" applyBorder="1"/>
    <x:xf numFmtId="0" fontId="0" fillId="36" borderId="0" xfId="0" applyNumberFormat="1" applyFont="1" applyFill="1" applyBorder="1"/>
    <x:xf numFmtId="164" fontId="0" fillId="36" borderId="0" xfId="0" applyNumberFormat="1" applyFont="1" applyFill="1" applyBorder="1"/>
    <x:xf numFmtId="0" fontId="0" fillId="36" borderId="11" xfId="0" applyNumberFormat="1" applyFont="1" applyFill="1" applyBorder="1"/>
    <x:xf numFmtId="164" fontId="0" fillId="36" borderId="11" xfId="0" applyNumberFormat="1" applyFont="1" applyFill="1" applyBorder="1"/>
    <x:xf numFmtId="0" fontId="0" fillId="37" borderId="0" xfId="0" applyNumberFormat="1" applyFont="1" applyFill="1" applyBorder="1" applyAlignment="1">
      <x:alignment horizontal="center"/>
    </x:xf>
    <x:xf numFmtId="0" fontId="7" fillId="37" borderId="0" xfId="0" applyNumberFormat="1" applyFont="1" applyFill="1" applyBorder="1"/>
    <x:xf numFmtId="0" fontId="13" fillId="37" borderId="0" xfId="0" applyNumberFormat="1" applyFont="1" applyFill="1" applyBorder="1" applyAlignment="1">
      <x:alignment horizontal="center"/>
    </x:xf>
    <x:xf numFmtId="0" fontId="13" fillId="37" borderId="0" xfId="0" applyNumberFormat="1" applyFont="1" applyFill="1" applyBorder="1"/>
    <x:xf numFmtId="0" fontId="0" fillId="37" borderId="11" xfId="0" applyNumberFormat="1" applyFont="1" applyFill="1" applyBorder="1" applyAlignment="1">
      <x:alignment horizontal="center"/>
    </x:xf>
    <x:xf numFmtId="0" fontId="7" fillId="37" borderId="11" xfId="0" applyNumberFormat="1" applyFont="1" applyFill="1" applyBorder="1"/>
    <x:xf numFmtId="0" fontId="13" fillId="37" borderId="11" xfId="0" applyNumberFormat="1" applyFont="1" applyFill="1" applyBorder="1" applyAlignment="1">
      <x:alignment horizontal="center"/>
    </x:xf>
    <x:xf numFmtId="0" fontId="13" fillId="37" borderId="11" xfId="0" applyNumberFormat="1" applyFont="1" applyFill="1" applyBorder="1"/>
    <x:xf numFmtId="0" fontId="0" fillId="38" borderId="0" xfId="0" applyNumberFormat="1" applyFont="1" applyFill="1" applyBorder="1"/>
    <x:xf numFmtId="164" fontId="0" fillId="38" borderId="0" xfId="0" applyNumberFormat="1" applyFont="1" applyFill="1" applyBorder="1"/>
    <x:xf numFmtId="0" fontId="0" fillId="38" borderId="11" xfId="0" applyNumberFormat="1" applyFont="1" applyFill="1" applyBorder="1"/>
    <x:xf numFmtId="164" fontId="0" fillId="38" borderId="11" xfId="0" applyNumberFormat="1" applyFont="1" applyFill="1" applyBorder="1"/>
    <x:xf numFmtId="0" fontId="0" fillId="39" borderId="0" xfId="0" applyNumberFormat="1" applyFont="1" applyFill="1" applyBorder="1" applyAlignment="1">
      <x:alignment horizontal="center"/>
    </x:xf>
    <x:xf numFmtId="0" fontId="13" fillId="39" borderId="0" xfId="0" applyNumberFormat="1" applyFont="1" applyFill="1" applyBorder="1" applyAlignment="1">
      <x:alignment horizontal="center"/>
    </x:xf>
    <x:xf numFmtId="0" fontId="0" fillId="39" borderId="11" xfId="0" applyNumberFormat="1" applyFont="1" applyFill="1" applyBorder="1" applyAlignment="1">
      <x:alignment horizontal="center"/>
    </x:xf>
    <x:xf numFmtId="0" fontId="13" fillId="39" borderId="11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/>
    <x:xf numFmtId="0" fontId="0" fillId="40" borderId="11" xfId="0" applyNumberFormat="1" applyFont="1" applyFill="1" applyBorder="1"/>
    <x:xf numFmtId="0" fontId="20" fillId="36" borderId="0" xfId="0" applyNumberFormat="1" applyFont="1" applyFill="1" applyBorder="1"/>
    <x:xf numFmtId="164" fontId="20" fillId="36" borderId="0" xfId="0" applyNumberFormat="1" applyFont="1" applyFill="1" applyBorder="1"/>
    <x:xf numFmtId="0" fontId="20" fillId="36" borderId="11" xfId="0" applyNumberFormat="1" applyFont="1" applyFill="1" applyBorder="1"/>
    <x:xf numFmtId="164" fontId="20" fillId="36" borderId="11" xfId="0" applyNumberFormat="1" applyFont="1" applyFill="1" applyBorder="1"/>
    <x:xf numFmtId="0" fontId="20" fillId="38" borderId="0" xfId="0" applyNumberFormat="1" applyFont="1" applyFill="1" applyBorder="1"/>
    <x:xf numFmtId="164" fontId="20" fillId="38" borderId="0" xfId="0" applyNumberFormat="1" applyFont="1" applyFill="1" applyBorder="1"/>
    <x:xf numFmtId="0" fontId="20" fillId="38" borderId="11" xfId="0" applyNumberFormat="1" applyFont="1" applyFill="1" applyBorder="1"/>
    <x:xf numFmtId="164" fontId="20" fillId="38" borderId="11" xfId="0" applyNumberFormat="1" applyFont="1" applyFill="1" applyBorder="1"/>
    <x:xf numFmtId="0" fontId="20" fillId="40" borderId="0" xfId="0" applyNumberFormat="1" applyFont="1" applyFill="1" applyBorder="1"/>
    <x:xf numFmtId="0" fontId="20" fillId="40" borderId="11" xfId="0" applyNumberFormat="1" applyFont="1" applyFill="1" applyBorder="1"/>
    <x:xf numFmtId="0" fontId="8" fillId="26" borderId="0" xfId="0" applyNumberFormat="1" applyFont="1" applyFill="1" applyBorder="1" applyAlignment="1">
      <x:alignment vertical="center"/>
    </x:xf>
    <x:xf numFmtId="0" fontId="8" fillId="26" borderId="1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11" xfId="0" applyNumberFormat="1" applyFont="1" applyFill="1" applyBorder="1"/>
    <x:xf numFmtId="0" fontId="21" fillId="26" borderId="0" xfId="0" applyNumberFormat="1" applyFont="1" applyFill="1" applyBorder="1"/>
    <x:xf numFmtId="0" fontId="21" fillId="26" borderId="0" xfId="0" applyNumberFormat="1" applyFont="1" applyFill="1" applyBorder="1" applyAlignment="1">
      <x:alignment vertical="center"/>
    </x:xf>
    <x:xf numFmtId="0" fontId="21" fillId="26" borderId="11" xfId="0" applyNumberFormat="1" applyFont="1" applyFill="1" applyBorder="1"/>
    <x:xf numFmtId="0" fontId="21" fillId="26" borderId="11" xfId="0" applyNumberFormat="1" applyFont="1" applyFill="1" applyBorder="1" applyAlignment="1">
      <x:alignment vertical="center"/>
    </x:xf>
    <x:xf numFmtId="0" fontId="0" fillId="32" borderId="0" xfId="0" applyNumberFormat="1" applyFont="1" applyFill="1" applyBorder="1"/>
    <x:xf numFmtId="0" fontId="22" fillId="32" borderId="0" xfId="0" applyNumberFormat="1" applyFont="1" applyFill="1" applyBorder="1"/>
    <x:xf numFmtId="0" fontId="22" fillId="32" borderId="0" xfId="0" applyNumberFormat="1" applyFont="1" applyFill="1" applyBorder="1" applyAlignment="1">
      <x:alignment wrapText="1"/>
    </x:xf>
    <x:xf numFmtId="0" fontId="0" fillId="32" borderId="11" xfId="0" applyNumberFormat="1" applyFont="1" applyFill="1" applyBorder="1"/>
    <x:xf numFmtId="0" fontId="22" fillId="32" borderId="11" xfId="0" applyNumberFormat="1" applyFont="1" applyFill="1" applyBorder="1"/>
    <x:xf numFmtId="0" fontId="22" fillId="32" borderId="11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1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164" fontId="0" fillId="41" borderId="0" xfId="0" applyNumberFormat="1" applyFont="1" applyFill="1" applyBorder="1" applyAlignment="1">
      <x:alignment wrapText="1"/>
    </x:xf>
    <x:xf numFmtId="164" fontId="20" fillId="41" borderId="0" xfId="0" applyNumberFormat="1" applyFont="1" applyFill="1" applyBorder="1" applyAlignment="1">
      <x:alignment wrapText="1"/>
    </x:xf>
    <x:xf numFmtId="164" fontId="20" fillId="41" borderId="0" xfId="0" applyNumberFormat="1" applyFont="1" applyFill="1" applyBorder="1" applyAlignment="1">
      <x:alignment horizontal="center" wrapText="1"/>
    </x:xf>
    <x:xf numFmtId="164" fontId="0" fillId="41" borderId="11" xfId="0" applyNumberFormat="1" applyFont="1" applyFill="1" applyBorder="1" applyAlignment="1">
      <x:alignment wrapText="1"/>
    </x:xf>
    <x:xf numFmtId="164" fontId="20" fillId="41" borderId="11" xfId="0" applyNumberFormat="1" applyFont="1" applyFill="1" applyBorder="1" applyAlignment="1">
      <x:alignment wrapText="1"/>
    </x:xf>
    <x:xf numFmtId="164" fontId="20" fillId="41" borderId="11" xfId="0" applyNumberFormat="1" applyFont="1" applyFill="1" applyBorder="1" applyAlignment="1">
      <x:alignment horizontal="center" wrapText="1"/>
    </x:xf>
    <x:xf numFmtId="201" fontId="0" fillId="41" borderId="0" xfId="0" applyNumberFormat="1" applyFont="1" applyFill="1" applyBorder="1" applyAlignment="1">
      <x:alignment wrapText="1"/>
    </x:xf>
    <x:xf numFmtId="201" fontId="20" fillId="41" borderId="0" xfId="0" applyNumberFormat="1" applyFont="1" applyFill="1" applyBorder="1" applyAlignment="1">
      <x:alignment wrapText="1"/>
    </x:xf>
    <x:xf numFmtId="201" fontId="20" fillId="41" borderId="0" xfId="0" applyNumberFormat="1" applyFont="1" applyFill="1" applyBorder="1" applyAlignment="1">
      <x:alignment horizontal="center" wrapText="1"/>
    </x:xf>
    <x:xf numFmtId="201" fontId="0" fillId="41" borderId="11" xfId="0" applyNumberFormat="1" applyFont="1" applyFill="1" applyBorder="1" applyAlignment="1">
      <x:alignment wrapText="1"/>
    </x:xf>
    <x:xf numFmtId="201" fontId="20" fillId="41" borderId="11" xfId="0" applyNumberFormat="1" applyFont="1" applyFill="1" applyBorder="1" applyAlignment="1">
      <x:alignment wrapText="1"/>
    </x:xf>
    <x:xf numFmtId="201" fontId="20" fillId="41" borderId="11" xfId="0" applyNumberFormat="1" applyFont="1" applyFill="1" applyBorder="1" applyAlignment="1">
      <x:alignment horizontal="center" wrapText="1"/>
    </x:xf>
    <x:xf numFmtId="202" fontId="0" fillId="41" borderId="0" xfId="0" applyNumberFormat="1" applyFont="1" applyFill="1" applyBorder="1" applyAlignment="1">
      <x:alignment wrapText="1"/>
    </x:xf>
    <x:xf numFmtId="202" fontId="20" fillId="41" borderId="0" xfId="0" applyNumberFormat="1" applyFont="1" applyFill="1" applyBorder="1" applyAlignment="1">
      <x:alignment wrapText="1"/>
    </x:xf>
    <x:xf numFmtId="202" fontId="20" fillId="41" borderId="0" xfId="0" applyNumberFormat="1" applyFont="1" applyFill="1" applyBorder="1" applyAlignment="1">
      <x:alignment horizontal="center" wrapText="1"/>
    </x:xf>
    <x:xf numFmtId="202" fontId="0" fillId="41" borderId="11" xfId="0" applyNumberFormat="1" applyFont="1" applyFill="1" applyBorder="1" applyAlignment="1">
      <x:alignment wrapText="1"/>
    </x:xf>
    <x:xf numFmtId="202" fontId="20" fillId="41" borderId="11" xfId="0" applyNumberFormat="1" applyFont="1" applyFill="1" applyBorder="1" applyAlignment="1">
      <x:alignment wrapText="1"/>
    </x:xf>
    <x:xf numFmtId="202" fontId="20" fillId="41" borderId="11" xfId="0" applyNumberFormat="1" applyFont="1" applyFill="1" applyBorder="1" applyAlignment="1">
      <x:alignment horizontal="center" wrapText="1"/>
    </x:xf>
    <x:xf numFmtId="0" fontId="16" fillId="32" borderId="0" xfId="0" applyNumberFormat="1" applyFont="1" applyFill="1" applyBorder="1"/>
    <x:xf numFmtId="0" fontId="0" fillId="0" borderId="0" xfId="0" applyNumberFormat="1" applyFont="1" applyFill="1" applyBorder="1"/>
    <x:xf numFmtId="11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4" fillId="0" borderId="0" xfId="0" applyNumberFormat="1" applyFont="1" applyFill="1" applyBorder="1"/>
    <x:xf numFmtId="0" fontId="0" fillId="6" borderId="3" xfId="0" applyNumberFormat="1" applyFont="1" applyFill="1" applyBorder="1"/>
    <x:xf numFmtId="2" fontId="0" fillId="6" borderId="4" xfId="0" applyNumberFormat="1" applyFont="1" applyFill="1" applyBorder="1"/>
    <x:xf numFmtId="2" fontId="0" fillId="3" borderId="2" xfId="0" applyNumberFormat="1" applyFont="1" applyFill="1" applyBorder="1"/>
    <x:xf numFmtId="0" fontId="6" fillId="3" borderId="2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6" borderId="0" xfId="0" applyNumberFormat="1" applyFont="1" applyFill="1" applyBorder="1"/>
    <x:xf numFmtId="164" fontId="0" fillId="16" borderId="0" xfId="0" applyNumberFormat="1" applyFont="1" applyFill="1" applyBorder="1"/>
    <x:xf numFmtId="164" fontId="0" fillId="12" borderId="0" xfId="0" applyNumberFormat="1" applyFont="1" applyFill="1" applyBorder="1"/>
    <x:xf numFmtId="164" fontId="0" fillId="13" borderId="0" xfId="0" applyNumberFormat="1" applyFont="1" applyFill="1" applyBorder="1"/>
    <x:xf numFmtId="164" fontId="0" fillId="14" borderId="0" xfId="0" applyNumberFormat="1" applyFont="1" applyFill="1" applyBorder="1"/>
    <x:xf numFmtId="164" fontId="0" fillId="15" borderId="0" xfId="0" applyNumberFormat="1" applyFont="1" applyFill="1" applyBorder="1"/>
    <x:xf numFmtId="0" fontId="0" fillId="17" borderId="0" xfId="0" applyNumberFormat="1" applyFont="1" applyFill="1" applyBorder="1"/>
    <x:xf numFmtId="164" fontId="0" fillId="17" borderId="0" xfId="0" applyNumberFormat="1" applyFont="1" applyFill="1" applyBorder="1"/>
    <x:xf numFmtId="0" fontId="0" fillId="18" borderId="0" xfId="0" applyNumberFormat="1" applyFont="1" applyFill="1" applyBorder="1"/>
    <x:xf numFmtId="164" fontId="0" fillId="18" borderId="0" xfId="0" applyNumberFormat="1" applyFont="1" applyFill="1" applyBorder="1"/>
    <x:xf numFmtId="0" fontId="0" fillId="20" borderId="0" xfId="0" applyNumberFormat="1" applyFont="1" applyFill="1" applyBorder="1"/>
    <x:xf numFmtId="0" fontId="0" fillId="21" borderId="0" xfId="0" applyNumberFormat="1" applyFont="1" applyFill="1" applyBorder="1"/>
    <x:xf numFmtId="0" fontId="0" fillId="4" borderId="9" xfId="0" applyNumberFormat="1" applyFont="1" applyFill="1" applyBorder="1"/>
    <x:xf numFmtId="20" fontId="0" fillId="0" borderId="0" xfId="0" applyNumberFormat="1" applyFont="1" applyFill="1" applyBorder="1"/>
    <x:xf numFmtId="0" fontId="0" fillId="24" borderId="9" xfId="0" applyNumberFormat="1" applyFont="1" applyFill="1" applyBorder="1"/>
    <x:xf numFmtId="0" fontId="0" fillId="24" borderId="10" xfId="0" applyNumberFormat="1" applyFont="1" applyFill="1" applyBorder="1"/>
    <x:xf numFmtId="164" fontId="0" fillId="17" borderId="9" xfId="0" applyNumberFormat="1" applyFont="1" applyFill="1" applyBorder="1"/>
    <x:xf numFmtId="0" fontId="0" fillId="17" borderId="9" xfId="0" applyNumberFormat="1" applyFont="1" applyFill="1" applyBorder="1"/>
    <x:xf numFmtId="164" fontId="0" fillId="4" borderId="2" xfId="0" applyNumberFormat="1" applyFont="1" applyFill="1" applyBorder="1"/>
    <x:xf numFmtId="164" fontId="0" fillId="5" borderId="2" xfId="0" applyNumberFormat="1" applyFont="1" applyFill="1" applyBorder="1"/>
    <x:xf numFmtId="164" fontId="0" fillId="4" borderId="2" xfId="0" applyNumberFormat="1" applyFont="1" applyFill="1" applyBorder="1" applyAlignment="1">
      <x:alignment horizontal="right"/>
    </x:xf>
    <x:xf numFmtId="164" fontId="0" fillId="4" borderId="0" xfId="0" applyNumberFormat="1" applyFont="1" applyFill="1" applyBorder="1"/>
    <x:xf numFmtId="0" fontId="0" fillId="18" borderId="9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0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 applyAlignment="1">
      <x:alignment horizontal="center"/>
    </x:xf>
    <x:xf numFmtId="164" fontId="0" fillId="6" borderId="0" xfId="0" applyNumberFormat="1" applyFont="1" applyFill="1" applyBorder="1" applyAlignment="1">
      <x:alignment wrapText="1"/>
    </x:xf>
    <x:xf numFmtId="164" fontId="20" fillId="6" borderId="0" xfId="0" applyNumberFormat="1" applyFont="1" applyFill="1" applyBorder="1" applyAlignment="1">
      <x:alignment wrapText="1"/>
    </x:xf>
    <x:xf numFmtId="164" fontId="20" fillId="6" borderId="0" xfId="0" applyNumberFormat="1" applyFont="1" applyFill="1" applyBorder="1" applyAlignment="1">
      <x:alignment horizontal="center" wrapText="1"/>
    </x:xf>
    <x:xf numFmtId="201" fontId="0" fillId="6" borderId="0" xfId="0" applyNumberFormat="1" applyFont="1" applyFill="1" applyBorder="1" applyAlignment="1">
      <x:alignment wrapText="1"/>
    </x:xf>
    <x:xf numFmtId="201" fontId="20" fillId="6" borderId="0" xfId="0" applyNumberFormat="1" applyFont="1" applyFill="1" applyBorder="1" applyAlignment="1">
      <x:alignment wrapText="1"/>
    </x:xf>
    <x:xf numFmtId="201" fontId="20" fillId="6" borderId="0" xfId="0" applyNumberFormat="1" applyFont="1" applyFill="1" applyBorder="1" applyAlignment="1">
      <x:alignment horizontal="center" wrapText="1"/>
    </x:xf>
    <x:xf numFmtId="202" fontId="0" fillId="6" borderId="0" xfId="0" applyNumberFormat="1" applyFont="1" applyFill="1" applyBorder="1" applyAlignment="1">
      <x:alignment wrapText="1"/>
    </x:xf>
    <x:xf numFmtId="202" fontId="20" fillId="6" borderId="0" xfId="0" applyNumberFormat="1" applyFont="1" applyFill="1" applyBorder="1" applyAlignment="1">
      <x:alignment wrapText="1"/>
    </x:xf>
    <x:xf numFmtId="202" fontId="20" fillId="6" borderId="0" xfId="0" applyNumberFormat="1" applyFont="1" applyFill="1" applyBorder="1" applyAlignment="1">
      <x:alignment horizontal="center" wrapText="1"/>
    </x:xf>
    <x:xf numFmtId="0" fontId="13" fillId="42" borderId="0" xfId="0" applyNumberFormat="1" applyFont="1" applyFill="1" applyBorder="1"/>
    <x:xf numFmtId="0" fontId="23" fillId="4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9b45a3fb74a58" /><Relationship Type="http://schemas.openxmlformats.org/officeDocument/2006/relationships/theme" Target="/xl/theme/theme1.xml" Id="R64bda680767f4b5b" /><Relationship Type="http://schemas.openxmlformats.org/officeDocument/2006/relationships/sharedStrings" Target="/xl/sharedStrings.xml" Id="Rc89f5e6f8cf74d72" /><Relationship Type="http://schemas.openxmlformats.org/officeDocument/2006/relationships/worksheet" Target="/xl/worksheets/sheet1.xml" Id="R4764a9b199d64084" /><Relationship Type="http://schemas.openxmlformats.org/officeDocument/2006/relationships/worksheet" Target="/xl/worksheets/sheet2.xml" Id="R8b59dae5b8fc4e08" /><Relationship Type="http://schemas.openxmlformats.org/officeDocument/2006/relationships/worksheet" Target="/xl/worksheets/sheet3.xml" Id="Rf0ba2e8862004df3" /><Relationship Type="http://schemas.openxmlformats.org/officeDocument/2006/relationships/worksheet" Target="/xl/worksheets/sheet4.xml" Id="R04facdc23ae045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b48350686440b7" /><Relationship Type="http://schemas.openxmlformats.org/officeDocument/2006/relationships/chart" Target="/xl/drawings/charts/chart2.xml" Id="R842210c6d8f2414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924c90bdff414747" /><Relationship Type="http://schemas.openxmlformats.org/officeDocument/2006/relationships/image" Target="/xl/media/image2.png" Id="R1e351a726c98410f" /><Relationship Type="http://schemas.openxmlformats.org/officeDocument/2006/relationships/image" Target="/xl/media/image3.png" Id="R15aff272dc84454e" /><Relationship Type="http://schemas.openxmlformats.org/officeDocument/2006/relationships/image" Target="/xl/media/image4.png" Id="R0a11493bba7f4819" /><Relationship Type="http://schemas.openxmlformats.org/officeDocument/2006/relationships/image" Target="/xl/media/image5.png" Id="R91568cb4c9e141b0" /><Relationship Type="http://schemas.openxmlformats.org/officeDocument/2006/relationships/image" Target="/xl/media/image6.png" Id="R8887143b358c4a7d" /><Relationship Type="http://schemas.openxmlformats.org/officeDocument/2006/relationships/image" Target="/xl/media/image7.png" Id="Rfe3a25120a284208" /><Relationship Type="http://schemas.openxmlformats.org/officeDocument/2006/relationships/image" Target="/xl/media/image8.png" Id="R4db50f5bc77b49b3" /><Relationship Type="http://schemas.openxmlformats.org/officeDocument/2006/relationships/image" Target="/xl/media/image9.png" Id="R93b4c34f6b794f2a" /><Relationship Type="http://schemas.openxmlformats.org/officeDocument/2006/relationships/chart" Target="/xl/drawings/charts/chart3.xml" Id="R80ec3d0f6cc14a25" /><Relationship Type="http://schemas.openxmlformats.org/officeDocument/2006/relationships/chart" Target="/xl/drawings/charts/chart4.xml" Id="R8283857975c14c24" /><Relationship Type="http://schemas.openxmlformats.org/officeDocument/2006/relationships/chart" Target="/xl/drawings/charts/chart5.xml" Id="Rb71bfc14316e4382" /><Relationship Type="http://schemas.openxmlformats.org/officeDocument/2006/relationships/chart" Target="/xl/drawings/charts/chart6.xml" Id="R14915f4cc465489c" /><Relationship Type="http://schemas.openxmlformats.org/officeDocument/2006/relationships/chart" Target="/xl/drawings/charts/chart7.xml" Id="R40fc43891b9b419c" /><Relationship Type="http://schemas.openxmlformats.org/officeDocument/2006/relationships/chart" Target="/xl/drawings/charts/chart8.xml" Id="R9d2c8394d7d4442c" /><Relationship Type="http://schemas.openxmlformats.org/officeDocument/2006/relationships/chart" Target="/xl/drawings/charts/chart9.xml" Id="R50e38d461ee04878" /><Relationship Type="http://schemas.openxmlformats.org/officeDocument/2006/relationships/chart" Target="/xl/drawings/charts/chart10.xml" Id="Rb0b63de2b3da4dcd" /><Relationship Type="http://schemas.openxmlformats.org/officeDocument/2006/relationships/chart" Target="/xl/drawings/charts/chart11.xml" Id="Rb38e37f6b8614596" /><Relationship Type="http://schemas.openxmlformats.org/officeDocument/2006/relationships/chart" Target="/xl/drawings/charts/chart12.xml" Id="Rf293a9c8eafe4efb" /><Relationship Type="http://schemas.openxmlformats.org/officeDocument/2006/relationships/chart" Target="/xl/drawings/charts/chart13.xml" Id="R822b89cd50ff45e8" /><Relationship Type="http://schemas.openxmlformats.org/officeDocument/2006/relationships/chart" Target="/xl/drawings/charts/chart14.xml" Id="R563eb5b9cef84b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Pilon — avant et après équilibrage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Pilon brut [N]</c:v>
          </c:tx>
          <c:marker>
            <c:symbol val="none"/>
          </c:marker>
          <c:cat>
            <c:strRef>
              <c:f>'Équilibrage'!$A$4:$A$184</c:f>
              <c:strCache>
                <c:ptCount val="0"/>
              </c:strCache>
            </c:strRef>
          </c:cat>
          <c:val>
            <c:numRef>
              <c:f>'Équilibrage'!$B$4:$B$184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Force masselottes Y [N]</c:v>
          </c:tx>
          <c:marker>
            <c:symbol val="none"/>
          </c:marker>
          <c:cat>
            <c:strRef>
              <c:f>'Équilibrage'!$A$4:$A$184</c:f>
              <c:strCache>
                <c:ptCount val="0"/>
              </c:strCache>
            </c:strRef>
          </c:cat>
          <c:val>
            <c:numRef>
              <c:f>'Équilibrage'!$C$4:$C$184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Résiduel [N]</c:v>
          </c:tx>
          <c:marker>
            <c:symbol val="none"/>
          </c:marker>
          <c:cat>
            <c:strRef>
              <c:f>'Équilibrage'!$A$4:$A$184</c:f>
              <c:strCache>
                <c:ptCount val="0"/>
              </c:strCache>
            </c:strRef>
          </c:cat>
          <c:val>
            <c:numRef>
              <c:f>'Équilibrage'!$D$4:$D$184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Moments résultants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Galop [N·m]</c:v>
          </c:tx>
          <c:marker>
            <c:symbol val="none"/>
          </c:marker>
          <c:cat>
            <c:strRef>
              <c:f>'Équilibrage'!$I$24:$I$204</c:f>
              <c:strCache>
                <c:ptCount val="0"/>
              </c:strCache>
            </c:strRef>
          </c:cat>
          <c:val>
            <c:numRef>
              <c:f>'Équilibrage'!$J$24:$J$204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Lacet [N·m]</c:v>
          </c:tx>
          <c:marker>
            <c:symbol val="none"/>
          </c:marker>
          <c:cat>
            <c:strRef>
              <c:f>'Équilibrage'!$I$24:$I$204</c:f>
              <c:strCache>
                <c:ptCount val="0"/>
              </c:strCache>
            </c:strRef>
          </c:cat>
          <c:val>
            <c:numRef>
              <c:f>'Équilibrage'!$K$24:$K$204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Force X repère local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Fx2_loc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Feuil1!$M$32:$M$212</c:f>
              <c:numCache>
                <c:formatCode>0.000</c:formatCode>
                <c:ptCount val="181"/>
                <c:pt idx="0">
                  <c:v>1.6754390164819992E-13</c:v>
                </c:pt>
                <c:pt idx="1">
                  <c:v>-47.72644343359689</c:v>
                </c:pt>
                <c:pt idx="2">
                  <c:v>-95.39473954756453</c:v>
                </c:pt>
                <c:pt idx="3">
                  <c:v>-142.94681186582724</c:v>
                </c:pt>
                <c:pt idx="4">
                  <c:v>-190.3247255131004</c:v>
                </c:pt>
                <c:pt idx="5">
                  <c:v>-237.47075779961176</c:v>
                </c:pt>
                <c:pt idx="6">
                  <c:v>-284.3274685473097</c:v>
                </c:pt>
                <c:pt idx="7">
                  <c:v>-330.83777007187246</c:v>
                </c:pt>
                <c:pt idx="8">
                  <c:v>-376.94499673525434</c:v>
                </c:pt>
                <c:pt idx="9">
                  <c:v>-422.59297398404055</c:v>
                </c:pt>
                <c:pt idx="10">
                  <c:v>-467.7260867894834</c:v>
                </c:pt>
                <c:pt idx="11">
                  <c:v>-512.2893474058544</c:v>
                </c:pt>
                <c:pt idx="12">
                  <c:v>-556.2284623645354</c:v>
                </c:pt>
                <c:pt idx="13">
                  <c:v>-599.4898986222521</c:v>
                </c:pt>
                <c:pt idx="14">
                  <c:v>-642.020948782838</c:v>
                </c:pt>
                <c:pt idx="15">
                  <c:v>-683.7697953130771</c:v>
                </c:pt>
                <c:pt idx="16">
                  <c:v>-724.6855736743896</c:v>
                </c:pt>
                <c:pt idx="17">
                  <c:v>-764.7184342934354</c:v>
                </c:pt>
                <c:pt idx="18">
                  <c:v>-803.8196032961392</c:v>
                </c:pt>
                <c:pt idx="19">
                  <c:v>-841.9414419311441</c:v>
                </c:pt>
                <c:pt idx="20">
                  <c:v>-879.0375046102939</c:v>
                </c:pt>
                <c:pt idx="21">
                  <c:v>-915.0625954954232</c:v>
                </c:pt>
                <c:pt idx="22">
                  <c:v>-949.9728235625284</c:v>
                </c:pt>
                <c:pt idx="23">
                  <c:v>-983.725656076218</c:v>
                </c:pt>
                <c:pt idx="24">
                  <c:v>-1016.2799704093001</c:v>
                </c:pt>
                <c:pt idx="25">
                  <c:v>-1047.5961041443672</c:v>
                </c:pt>
                <c:pt idx="26">
                  <c:v>-1077.6359033963438</c:v>
                </c:pt>
                <c:pt idx="27">
                  <c:v>-1106.362769297117</c:v>
                </c:pt>
                <c:pt idx="28">
                  <c:v>-1133.7417025856219</c:v>
                </c:pt>
                <c:pt idx="29">
                  <c:v>-1159.7393462490481</c:v>
                </c:pt>
                <c:pt idx="30">
                  <c:v>-1184.3240261632207</c:v>
                </c:pt>
                <c:pt idx="31">
                  <c:v>-1207.4657896826452</c:v>
                </c:pt>
                <c:pt idx="32">
                  <c:v>-1229.136442133187</c:v>
                </c:pt>
                <c:pt idx="33">
                  <c:v>-1249.309581162945</c:v>
                </c:pt>
                <c:pt idx="34">
                  <c:v>-1267.9606289094438</c:v>
                </c:pt>
                <c:pt idx="35">
                  <c:v>-1285.0668619439787</c:v>
                </c:pt>
                <c:pt idx="36">
                  <c:v>-1300.6074389566104</c:v>
                </c:pt>
                <c:pt idx="37">
                  <c:v>-1314.5634261480914</c:v>
                </c:pt>
                <c:pt idx="38">
                  <c:v>-1326.917820297783</c:v>
                </c:pt>
                <c:pt idx="39">
                  <c:v>-1337.655569479463</c:v>
                </c:pt>
                <c:pt idx="40">
                  <c:v>-1346.7635913997776</c:v>
                </c:pt>
                <c:pt idx="41">
                  <c:v>-1354.2307893369994</c:v>
                </c:pt>
                <c:pt idx="42">
                  <c:v>-1360.0480656606753</c:v>
                </c:pt>
                <c:pt idx="43">
                  <c:v>-1364.208332915688</c:v>
                </c:pt>
                <c:pt idx="44">
                  <c:v>-1366.7065224572275</c:v>
                </c:pt>
                <c:pt idx="45">
                  <c:v>-1367.539590626154</c:v>
                </c:pt>
                <c:pt idx="46">
                  <c:v>-1366.7065224572277</c:v>
                </c:pt>
                <c:pt idx="47">
                  <c:v>-1364.2083329156883</c:v>
                </c:pt>
                <c:pt idx="48">
                  <c:v>-1360.0480656606753</c:v>
                </c:pt>
                <c:pt idx="49">
                  <c:v>-1354.2307893369994</c:v>
                </c:pt>
                <c:pt idx="50">
                  <c:v>-1346.7635913997776</c:v>
                </c:pt>
                <c:pt idx="51">
                  <c:v>-1337.6555694794636</c:v>
                </c:pt>
                <c:pt idx="52">
                  <c:v>-1326.9178202977832</c:v>
                </c:pt>
                <c:pt idx="53">
                  <c:v>-1314.563426148091</c:v>
                </c:pt>
                <c:pt idx="54">
                  <c:v>-1300.6074389566106</c:v>
                </c:pt>
                <c:pt idx="55">
                  <c:v>-1285.0668619439791</c:v>
                </c:pt>
                <c:pt idx="56">
                  <c:v>-1267.960628909444</c:v>
                </c:pt>
                <c:pt idx="57">
                  <c:v>-1249.3095811629448</c:v>
                </c:pt>
                <c:pt idx="58">
                  <c:v>-1229.1364421331873</c:v>
                </c:pt>
                <c:pt idx="59">
                  <c:v>-1207.4657896826452</c:v>
                </c:pt>
                <c:pt idx="60">
                  <c:v>-1184.3240261632209</c:v>
                </c:pt>
                <c:pt idx="61">
                  <c:v>-1159.7393462490484</c:v>
                </c:pt>
                <c:pt idx="62">
                  <c:v>-1133.7417025856228</c:v>
                </c:pt>
                <c:pt idx="63">
                  <c:v>-1106.3627692971172</c:v>
                </c:pt>
                <c:pt idx="64">
                  <c:v>-1077.6359033963433</c:v>
                </c:pt>
                <c:pt idx="65">
                  <c:v>-1047.5961041443675</c:v>
                </c:pt>
                <c:pt idx="66">
                  <c:v>-1016.2799704093009</c:v>
                </c:pt>
                <c:pt idx="67">
                  <c:v>-983.7256560762191</c:v>
                </c:pt>
                <c:pt idx="68">
                  <c:v>-949.9728235625288</c:v>
                </c:pt>
                <c:pt idx="69">
                  <c:v>-915.062595495423</c:v>
                </c:pt>
                <c:pt idx="70">
                  <c:v>-879.0375046102944</c:v>
                </c:pt>
                <c:pt idx="71">
                  <c:v>-841.9414419311455</c:v>
                </c:pt>
                <c:pt idx="72">
                  <c:v>-803.8196032961397</c:v>
                </c:pt>
                <c:pt idx="73">
                  <c:v>-764.7184342934363</c:v>
                </c:pt>
                <c:pt idx="74">
                  <c:v>-724.685573674391</c:v>
                </c:pt>
                <c:pt idx="75">
                  <c:v>-683.7697953130776</c:v>
                </c:pt>
                <c:pt idx="76">
                  <c:v>-642.0209487828379</c:v>
                </c:pt>
                <c:pt idx="77">
                  <c:v>-599.4898986222521</c:v>
                </c:pt>
                <c:pt idx="78">
                  <c:v>-556.2284623645359</c:v>
                </c:pt>
                <c:pt idx="79">
                  <c:v>-512.2893474058549</c:v>
                </c:pt>
                <c:pt idx="80">
                  <c:v>-467.72608678948336</c:v>
                </c:pt>
                <c:pt idx="81">
                  <c:v>-422.5929739840404</c:v>
                </c:pt>
                <c:pt idx="82">
                  <c:v>-376.9449967352554</c:v>
                </c:pt>
                <c:pt idx="83">
                  <c:v>-330.83777007187297</c:v>
                </c:pt>
                <c:pt idx="84">
                  <c:v>-284.32746854731084</c:v>
                </c:pt>
                <c:pt idx="85">
                  <c:v>-237.47075779961284</c:v>
                </c:pt>
                <c:pt idx="86">
                  <c:v>-190.3247255131009</c:v>
                </c:pt>
                <c:pt idx="87">
                  <c:v>-142.94681186582773</c:v>
                </c:pt>
                <c:pt idx="88">
                  <c:v>-95.39473954756444</c:v>
                </c:pt>
                <c:pt idx="89">
                  <c:v>-47.726443433596785</c:v>
                </c:pt>
                <c:pt idx="90">
                  <c:v>-3.3508780329639984E-13</c:v>
                </c:pt>
                <c:pt idx="91">
                  <c:v>47.72644343359612</c:v>
                </c:pt>
                <c:pt idx="92">
                  <c:v>95.39473954756497</c:v>
                </c:pt>
                <c:pt idx="93">
                  <c:v>142.94681186582707</c:v>
                </c:pt>
                <c:pt idx="94">
                  <c:v>190.32472551309903</c:v>
                </c:pt>
                <c:pt idx="95">
                  <c:v>237.470757799611</c:v>
                </c:pt>
                <c:pt idx="96">
                  <c:v>284.32746854730897</c:v>
                </c:pt>
                <c:pt idx="97">
                  <c:v>330.8377700718735</c:v>
                </c:pt>
                <c:pt idx="98">
                  <c:v>376.9449967352548</c:v>
                </c:pt>
                <c:pt idx="99">
                  <c:v>422.5929739840398</c:v>
                </c:pt>
                <c:pt idx="100">
                  <c:v>467.7260867894838</c:v>
                </c:pt>
                <c:pt idx="101">
                  <c:v>512.2893474058543</c:v>
                </c:pt>
                <c:pt idx="102">
                  <c:v>556.2284623645353</c:v>
                </c:pt>
                <c:pt idx="103">
                  <c:v>599.4898986222526</c:v>
                </c:pt>
                <c:pt idx="104">
                  <c:v>642.0209487828373</c:v>
                </c:pt>
                <c:pt idx="105">
                  <c:v>683.769795313076</c:v>
                </c:pt>
                <c:pt idx="106">
                  <c:v>724.6855736743895</c:v>
                </c:pt>
                <c:pt idx="107">
                  <c:v>764.7184342934347</c:v>
                </c:pt>
                <c:pt idx="108">
                  <c:v>803.8196032961399</c:v>
                </c:pt>
                <c:pt idx="109">
                  <c:v>841.9414419311449</c:v>
                </c:pt>
                <c:pt idx="110">
                  <c:v>879.0375046102938</c:v>
                </c:pt>
                <c:pt idx="111">
                  <c:v>915.0625954954235</c:v>
                </c:pt>
                <c:pt idx="112">
                  <c:v>949.9728235625283</c:v>
                </c:pt>
                <c:pt idx="113">
                  <c:v>983.725656076218</c:v>
                </c:pt>
                <c:pt idx="114">
                  <c:v>1016.2799704092996</c:v>
                </c:pt>
                <c:pt idx="115">
                  <c:v>1047.596104144367</c:v>
                </c:pt>
                <c:pt idx="116">
                  <c:v>1077.6359033963429</c:v>
                </c:pt>
                <c:pt idx="117">
                  <c:v>1106.3627692971163</c:v>
                </c:pt>
                <c:pt idx="118">
                  <c:v>1133.7417025856223</c:v>
                </c:pt>
                <c:pt idx="119">
                  <c:v>1159.739346249048</c:v>
                </c:pt>
                <c:pt idx="120">
                  <c:v>1184.324026163221</c:v>
                </c:pt>
                <c:pt idx="121">
                  <c:v>1207.465789682645</c:v>
                </c:pt>
                <c:pt idx="122">
                  <c:v>1229.136442133187</c:v>
                </c:pt>
                <c:pt idx="123">
                  <c:v>1249.3095811629448</c:v>
                </c:pt>
                <c:pt idx="124">
                  <c:v>1267.9606289094436</c:v>
                </c:pt>
                <c:pt idx="125">
                  <c:v>1285.0668619439784</c:v>
                </c:pt>
                <c:pt idx="126">
                  <c:v>1300.6074389566104</c:v>
                </c:pt>
                <c:pt idx="127">
                  <c:v>1314.563426148091</c:v>
                </c:pt>
                <c:pt idx="128">
                  <c:v>1326.9178202977828</c:v>
                </c:pt>
                <c:pt idx="129">
                  <c:v>1337.6555694794633</c:v>
                </c:pt>
                <c:pt idx="130">
                  <c:v>1346.7635913997776</c:v>
                </c:pt>
                <c:pt idx="131">
                  <c:v>1354.2307893369994</c:v>
                </c:pt>
                <c:pt idx="132">
                  <c:v>1360.0480656606753</c:v>
                </c:pt>
                <c:pt idx="133">
                  <c:v>1364.208332915688</c:v>
                </c:pt>
                <c:pt idx="134">
                  <c:v>1366.7065224572277</c:v>
                </c:pt>
                <c:pt idx="135">
                  <c:v>1367.539590626154</c:v>
                </c:pt>
                <c:pt idx="136">
                  <c:v>1366.7065224572277</c:v>
                </c:pt>
                <c:pt idx="137">
                  <c:v>1364.2083329156883</c:v>
                </c:pt>
                <c:pt idx="138">
                  <c:v>1360.0480656606753</c:v>
                </c:pt>
                <c:pt idx="139">
                  <c:v>1354.2307893369994</c:v>
                </c:pt>
                <c:pt idx="140">
                  <c:v>1346.7635913997776</c:v>
                </c:pt>
                <c:pt idx="141">
                  <c:v>1337.655569479463</c:v>
                </c:pt>
                <c:pt idx="142">
                  <c:v>1326.9178202977828</c:v>
                </c:pt>
                <c:pt idx="143">
                  <c:v>1314.5634261480911</c:v>
                </c:pt>
                <c:pt idx="144">
                  <c:v>1300.6074389566106</c:v>
                </c:pt>
                <c:pt idx="145">
                  <c:v>1285.0668619439793</c:v>
                </c:pt>
                <c:pt idx="146">
                  <c:v>1267.9606289094445</c:v>
                </c:pt>
                <c:pt idx="147">
                  <c:v>1249.3095811629448</c:v>
                </c:pt>
                <c:pt idx="148">
                  <c:v>1229.1364421331873</c:v>
                </c:pt>
                <c:pt idx="149">
                  <c:v>1207.4657896826454</c:v>
                </c:pt>
                <c:pt idx="150">
                  <c:v>1184.3240261632216</c:v>
                </c:pt>
                <c:pt idx="151">
                  <c:v>1159.7393462490477</c:v>
                </c:pt>
                <c:pt idx="152">
                  <c:v>1133.741702585622</c:v>
                </c:pt>
                <c:pt idx="153">
                  <c:v>1106.3627692971174</c:v>
                </c:pt>
                <c:pt idx="154">
                  <c:v>1077.6359033963442</c:v>
                </c:pt>
                <c:pt idx="155">
                  <c:v>1047.5961041443684</c:v>
                </c:pt>
                <c:pt idx="156">
                  <c:v>1016.2799704093001</c:v>
                </c:pt>
                <c:pt idx="157">
                  <c:v>983.7256560762185</c:v>
                </c:pt>
                <c:pt idx="158">
                  <c:v>949.9728235625289</c:v>
                </c:pt>
                <c:pt idx="159">
                  <c:v>915.0625954954241</c:v>
                </c:pt>
                <c:pt idx="160">
                  <c:v>879.0375046102955</c:v>
                </c:pt>
                <c:pt idx="161">
                  <c:v>841.9414419311447</c:v>
                </c:pt>
                <c:pt idx="162">
                  <c:v>803.8196032961397</c:v>
                </c:pt>
                <c:pt idx="163">
                  <c:v>764.7184342934364</c:v>
                </c:pt>
                <c:pt idx="164">
                  <c:v>724.6855736743892</c:v>
                </c:pt>
                <c:pt idx="165">
                  <c:v>683.7697953130767</c:v>
                </c:pt>
                <c:pt idx="166">
                  <c:v>642.020948782838</c:v>
                </c:pt>
                <c:pt idx="167">
                  <c:v>599.4898986222532</c:v>
                </c:pt>
                <c:pt idx="168">
                  <c:v>556.2284623645371</c:v>
                </c:pt>
                <c:pt idx="169">
                  <c:v>512.2893474058562</c:v>
                </c:pt>
                <c:pt idx="170">
                  <c:v>467.72608678948353</c:v>
                </c:pt>
                <c:pt idx="171">
                  <c:v>422.5929739840406</c:v>
                </c:pt>
                <c:pt idx="172">
                  <c:v>376.9449967352533</c:v>
                </c:pt>
                <c:pt idx="173">
                  <c:v>330.83777007187194</c:v>
                </c:pt>
                <c:pt idx="174">
                  <c:v>284.3274685473098</c:v>
                </c:pt>
                <c:pt idx="175">
                  <c:v>237.4707577996118</c:v>
                </c:pt>
                <c:pt idx="176">
                  <c:v>190.32472551310104</c:v>
                </c:pt>
                <c:pt idx="177">
                  <c:v>142.94681186582912</c:v>
                </c:pt>
                <c:pt idx="178">
                  <c:v>95.39473954756701</c:v>
                </c:pt>
                <c:pt idx="179">
                  <c:v>47.72644343359695</c:v>
                </c:pt>
                <c:pt idx="180">
                  <c:v>5.026317049445998E-13</c:v>
                </c:pt>
              </c:numCache>
            </c:numRef>
          </c:yVal>
        </c:ser>
        <c:ser>
          <c:idx val="1"/>
          <c:order val="1"/>
          <c:tx>
            <c:v>Fx3_loc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Feuil1!$N$32:$N$212</c:f>
              <c:numCache>
                <c:formatCode>0.000</c:formatCode>
                <c:ptCount val="181"/>
                <c:pt idx="0">
                  <c:v>1.6754390164819992E-13</c:v>
                </c:pt>
                <c:pt idx="1">
                  <c:v>-47.72644343359689</c:v>
                </c:pt>
                <c:pt idx="2">
                  <c:v>-95.39473954756453</c:v>
                </c:pt>
                <c:pt idx="3">
                  <c:v>-142.94681186582724</c:v>
                </c:pt>
                <c:pt idx="4">
                  <c:v>-190.3247255131004</c:v>
                </c:pt>
                <c:pt idx="5">
                  <c:v>-237.47075779961176</c:v>
                </c:pt>
                <c:pt idx="6">
                  <c:v>-284.3274685473097</c:v>
                </c:pt>
                <c:pt idx="7">
                  <c:v>-330.83777007187246</c:v>
                </c:pt>
                <c:pt idx="8">
                  <c:v>-376.94499673525434</c:v>
                </c:pt>
                <c:pt idx="9">
                  <c:v>-422.59297398404055</c:v>
                </c:pt>
                <c:pt idx="10">
                  <c:v>-467.7260867894834</c:v>
                </c:pt>
                <c:pt idx="11">
                  <c:v>-512.2893474058544</c:v>
                </c:pt>
                <c:pt idx="12">
                  <c:v>-556.2284623645354</c:v>
                </c:pt>
                <c:pt idx="13">
                  <c:v>-599.4898986222521</c:v>
                </c:pt>
                <c:pt idx="14">
                  <c:v>-642.020948782838</c:v>
                </c:pt>
                <c:pt idx="15">
                  <c:v>-683.7697953130771</c:v>
                </c:pt>
                <c:pt idx="16">
                  <c:v>-724.6855736743896</c:v>
                </c:pt>
                <c:pt idx="17">
                  <c:v>-764.7184342934354</c:v>
                </c:pt>
                <c:pt idx="18">
                  <c:v>-803.8196032961392</c:v>
                </c:pt>
                <c:pt idx="19">
                  <c:v>-841.9414419311441</c:v>
                </c:pt>
                <c:pt idx="20">
                  <c:v>-879.0375046102939</c:v>
                </c:pt>
                <c:pt idx="21">
                  <c:v>-915.0625954954232</c:v>
                </c:pt>
                <c:pt idx="22">
                  <c:v>-949.9728235625284</c:v>
                </c:pt>
                <c:pt idx="23">
                  <c:v>-983.725656076218</c:v>
                </c:pt>
                <c:pt idx="24">
                  <c:v>-1016.2799704093001</c:v>
                </c:pt>
                <c:pt idx="25">
                  <c:v>-1047.5961041443672</c:v>
                </c:pt>
                <c:pt idx="26">
                  <c:v>-1077.6359033963438</c:v>
                </c:pt>
                <c:pt idx="27">
                  <c:v>-1106.362769297117</c:v>
                </c:pt>
                <c:pt idx="28">
                  <c:v>-1133.7417025856219</c:v>
                </c:pt>
                <c:pt idx="29">
                  <c:v>-1159.7393462490481</c:v>
                </c:pt>
                <c:pt idx="30">
                  <c:v>-1184.3240261632207</c:v>
                </c:pt>
                <c:pt idx="31">
                  <c:v>-1207.4657896826452</c:v>
                </c:pt>
                <c:pt idx="32">
                  <c:v>-1229.136442133187</c:v>
                </c:pt>
                <c:pt idx="33">
                  <c:v>-1249.309581162945</c:v>
                </c:pt>
                <c:pt idx="34">
                  <c:v>-1267.9606289094438</c:v>
                </c:pt>
                <c:pt idx="35">
                  <c:v>-1285.0668619439787</c:v>
                </c:pt>
                <c:pt idx="36">
                  <c:v>-1300.6074389566104</c:v>
                </c:pt>
                <c:pt idx="37">
                  <c:v>-1314.5634261480914</c:v>
                </c:pt>
                <c:pt idx="38">
                  <c:v>-1326.917820297783</c:v>
                </c:pt>
                <c:pt idx="39">
                  <c:v>-1337.655569479463</c:v>
                </c:pt>
                <c:pt idx="40">
                  <c:v>-1346.7635913997776</c:v>
                </c:pt>
                <c:pt idx="41">
                  <c:v>-1354.2307893369994</c:v>
                </c:pt>
                <c:pt idx="42">
                  <c:v>-1360.0480656606753</c:v>
                </c:pt>
                <c:pt idx="43">
                  <c:v>-1364.208332915688</c:v>
                </c:pt>
                <c:pt idx="44">
                  <c:v>-1366.7065224572275</c:v>
                </c:pt>
                <c:pt idx="45">
                  <c:v>-1367.539590626154</c:v>
                </c:pt>
                <c:pt idx="46">
                  <c:v>-1366.7065224572277</c:v>
                </c:pt>
                <c:pt idx="47">
                  <c:v>-1364.2083329156883</c:v>
                </c:pt>
                <c:pt idx="48">
                  <c:v>-1360.0480656606753</c:v>
                </c:pt>
                <c:pt idx="49">
                  <c:v>-1354.2307893369994</c:v>
                </c:pt>
                <c:pt idx="50">
                  <c:v>-1346.7635913997776</c:v>
                </c:pt>
                <c:pt idx="51">
                  <c:v>-1337.6555694794636</c:v>
                </c:pt>
                <c:pt idx="52">
                  <c:v>-1326.9178202977832</c:v>
                </c:pt>
                <c:pt idx="53">
                  <c:v>-1314.563426148091</c:v>
                </c:pt>
                <c:pt idx="54">
                  <c:v>-1300.6074389566106</c:v>
                </c:pt>
                <c:pt idx="55">
                  <c:v>-1285.0668619439791</c:v>
                </c:pt>
                <c:pt idx="56">
                  <c:v>-1267.960628909444</c:v>
                </c:pt>
                <c:pt idx="57">
                  <c:v>-1249.3095811629448</c:v>
                </c:pt>
                <c:pt idx="58">
                  <c:v>-1229.1364421331873</c:v>
                </c:pt>
                <c:pt idx="59">
                  <c:v>-1207.4657896826452</c:v>
                </c:pt>
                <c:pt idx="60">
                  <c:v>-1184.3240261632209</c:v>
                </c:pt>
                <c:pt idx="61">
                  <c:v>-1159.7393462490484</c:v>
                </c:pt>
                <c:pt idx="62">
                  <c:v>-1133.7417025856228</c:v>
                </c:pt>
                <c:pt idx="63">
                  <c:v>-1106.3627692971172</c:v>
                </c:pt>
                <c:pt idx="64">
                  <c:v>-1077.6359033963433</c:v>
                </c:pt>
                <c:pt idx="65">
                  <c:v>-1047.5961041443675</c:v>
                </c:pt>
                <c:pt idx="66">
                  <c:v>-1016.2799704093009</c:v>
                </c:pt>
                <c:pt idx="67">
                  <c:v>-983.7256560762191</c:v>
                </c:pt>
                <c:pt idx="68">
                  <c:v>-949.9728235625288</c:v>
                </c:pt>
                <c:pt idx="69">
                  <c:v>-915.062595495423</c:v>
                </c:pt>
                <c:pt idx="70">
                  <c:v>-879.0375046102944</c:v>
                </c:pt>
                <c:pt idx="71">
                  <c:v>-841.9414419311455</c:v>
                </c:pt>
                <c:pt idx="72">
                  <c:v>-803.8196032961397</c:v>
                </c:pt>
                <c:pt idx="73">
                  <c:v>-764.7184342934363</c:v>
                </c:pt>
                <c:pt idx="74">
                  <c:v>-724.685573674391</c:v>
                </c:pt>
                <c:pt idx="75">
                  <c:v>-683.7697953130776</c:v>
                </c:pt>
                <c:pt idx="76">
                  <c:v>-642.0209487828379</c:v>
                </c:pt>
                <c:pt idx="77">
                  <c:v>-599.4898986222521</c:v>
                </c:pt>
                <c:pt idx="78">
                  <c:v>-556.2284623645359</c:v>
                </c:pt>
                <c:pt idx="79">
                  <c:v>-512.2893474058549</c:v>
                </c:pt>
                <c:pt idx="80">
                  <c:v>-467.72608678948336</c:v>
                </c:pt>
                <c:pt idx="81">
                  <c:v>-422.5929739840404</c:v>
                </c:pt>
                <c:pt idx="82">
                  <c:v>-376.9449967352554</c:v>
                </c:pt>
                <c:pt idx="83">
                  <c:v>-330.83777007187297</c:v>
                </c:pt>
                <c:pt idx="84">
                  <c:v>-284.32746854731084</c:v>
                </c:pt>
                <c:pt idx="85">
                  <c:v>-237.47075779961284</c:v>
                </c:pt>
                <c:pt idx="86">
                  <c:v>-190.3247255131009</c:v>
                </c:pt>
                <c:pt idx="87">
                  <c:v>-142.94681186582773</c:v>
                </c:pt>
                <c:pt idx="88">
                  <c:v>-95.39473954756444</c:v>
                </c:pt>
                <c:pt idx="89">
                  <c:v>-47.726443433596785</c:v>
                </c:pt>
                <c:pt idx="90">
                  <c:v>-3.3508780329639984E-13</c:v>
                </c:pt>
                <c:pt idx="91">
                  <c:v>47.72644343359612</c:v>
                </c:pt>
                <c:pt idx="92">
                  <c:v>95.39473954756497</c:v>
                </c:pt>
                <c:pt idx="93">
                  <c:v>142.94681186582707</c:v>
                </c:pt>
                <c:pt idx="94">
                  <c:v>190.32472551309903</c:v>
                </c:pt>
                <c:pt idx="95">
                  <c:v>237.470757799611</c:v>
                </c:pt>
                <c:pt idx="96">
                  <c:v>284.32746854730897</c:v>
                </c:pt>
                <c:pt idx="97">
                  <c:v>330.8377700718735</c:v>
                </c:pt>
                <c:pt idx="98">
                  <c:v>376.9449967352548</c:v>
                </c:pt>
                <c:pt idx="99">
                  <c:v>422.5929739840398</c:v>
                </c:pt>
                <c:pt idx="100">
                  <c:v>467.7260867894838</c:v>
                </c:pt>
                <c:pt idx="101">
                  <c:v>512.2893474058543</c:v>
                </c:pt>
                <c:pt idx="102">
                  <c:v>556.2284623645353</c:v>
                </c:pt>
                <c:pt idx="103">
                  <c:v>599.4898986222526</c:v>
                </c:pt>
                <c:pt idx="104">
                  <c:v>642.0209487828373</c:v>
                </c:pt>
                <c:pt idx="105">
                  <c:v>683.769795313076</c:v>
                </c:pt>
                <c:pt idx="106">
                  <c:v>724.6855736743895</c:v>
                </c:pt>
                <c:pt idx="107">
                  <c:v>764.7184342934347</c:v>
                </c:pt>
                <c:pt idx="108">
                  <c:v>803.8196032961399</c:v>
                </c:pt>
                <c:pt idx="109">
                  <c:v>841.9414419311449</c:v>
                </c:pt>
                <c:pt idx="110">
                  <c:v>879.0375046102938</c:v>
                </c:pt>
                <c:pt idx="111">
                  <c:v>915.0625954954235</c:v>
                </c:pt>
                <c:pt idx="112">
                  <c:v>949.9728235625283</c:v>
                </c:pt>
                <c:pt idx="113">
                  <c:v>983.725656076218</c:v>
                </c:pt>
                <c:pt idx="114">
                  <c:v>1016.2799704092996</c:v>
                </c:pt>
                <c:pt idx="115">
                  <c:v>1047.596104144367</c:v>
                </c:pt>
                <c:pt idx="116">
                  <c:v>1077.6359033963429</c:v>
                </c:pt>
                <c:pt idx="117">
                  <c:v>1106.3627692971163</c:v>
                </c:pt>
                <c:pt idx="118">
                  <c:v>1133.7417025856223</c:v>
                </c:pt>
                <c:pt idx="119">
                  <c:v>1159.739346249048</c:v>
                </c:pt>
                <c:pt idx="120">
                  <c:v>1184.324026163221</c:v>
                </c:pt>
                <c:pt idx="121">
                  <c:v>1207.465789682645</c:v>
                </c:pt>
                <c:pt idx="122">
                  <c:v>1229.136442133187</c:v>
                </c:pt>
                <c:pt idx="123">
                  <c:v>1249.3095811629448</c:v>
                </c:pt>
                <c:pt idx="124">
                  <c:v>1267.9606289094436</c:v>
                </c:pt>
                <c:pt idx="125">
                  <c:v>1285.0668619439784</c:v>
                </c:pt>
                <c:pt idx="126">
                  <c:v>1300.6074389566104</c:v>
                </c:pt>
                <c:pt idx="127">
                  <c:v>1314.563426148091</c:v>
                </c:pt>
                <c:pt idx="128">
                  <c:v>1326.9178202977828</c:v>
                </c:pt>
                <c:pt idx="129">
                  <c:v>1337.6555694794633</c:v>
                </c:pt>
                <c:pt idx="130">
                  <c:v>1346.7635913997776</c:v>
                </c:pt>
                <c:pt idx="131">
                  <c:v>1354.2307893369994</c:v>
                </c:pt>
                <c:pt idx="132">
                  <c:v>1360.0480656606753</c:v>
                </c:pt>
                <c:pt idx="133">
                  <c:v>1364.208332915688</c:v>
                </c:pt>
                <c:pt idx="134">
                  <c:v>1366.7065224572277</c:v>
                </c:pt>
                <c:pt idx="135">
                  <c:v>1367.539590626154</c:v>
                </c:pt>
                <c:pt idx="136">
                  <c:v>1366.7065224572277</c:v>
                </c:pt>
                <c:pt idx="137">
                  <c:v>1364.2083329156883</c:v>
                </c:pt>
                <c:pt idx="138">
                  <c:v>1360.0480656606753</c:v>
                </c:pt>
                <c:pt idx="139">
                  <c:v>1354.2307893369994</c:v>
                </c:pt>
                <c:pt idx="140">
                  <c:v>1346.7635913997776</c:v>
                </c:pt>
                <c:pt idx="141">
                  <c:v>1337.655569479463</c:v>
                </c:pt>
                <c:pt idx="142">
                  <c:v>1326.9178202977828</c:v>
                </c:pt>
                <c:pt idx="143">
                  <c:v>1314.5634261480911</c:v>
                </c:pt>
                <c:pt idx="144">
                  <c:v>1300.6074389566106</c:v>
                </c:pt>
                <c:pt idx="145">
                  <c:v>1285.0668619439793</c:v>
                </c:pt>
                <c:pt idx="146">
                  <c:v>1267.9606289094445</c:v>
                </c:pt>
                <c:pt idx="147">
                  <c:v>1249.3095811629448</c:v>
                </c:pt>
                <c:pt idx="148">
                  <c:v>1229.1364421331873</c:v>
                </c:pt>
                <c:pt idx="149">
                  <c:v>1207.4657896826454</c:v>
                </c:pt>
                <c:pt idx="150">
                  <c:v>1184.3240261632216</c:v>
                </c:pt>
                <c:pt idx="151">
                  <c:v>1159.7393462490477</c:v>
                </c:pt>
                <c:pt idx="152">
                  <c:v>1133.741702585622</c:v>
                </c:pt>
                <c:pt idx="153">
                  <c:v>1106.3627692971174</c:v>
                </c:pt>
                <c:pt idx="154">
                  <c:v>1077.6359033963442</c:v>
                </c:pt>
                <c:pt idx="155">
                  <c:v>1047.5961041443684</c:v>
                </c:pt>
                <c:pt idx="156">
                  <c:v>1016.2799704093001</c:v>
                </c:pt>
                <c:pt idx="157">
                  <c:v>983.7256560762185</c:v>
                </c:pt>
                <c:pt idx="158">
                  <c:v>949.9728235625289</c:v>
                </c:pt>
                <c:pt idx="159">
                  <c:v>915.0625954954241</c:v>
                </c:pt>
                <c:pt idx="160">
                  <c:v>879.0375046102955</c:v>
                </c:pt>
                <c:pt idx="161">
                  <c:v>841.9414419311447</c:v>
                </c:pt>
                <c:pt idx="162">
                  <c:v>803.8196032961397</c:v>
                </c:pt>
                <c:pt idx="163">
                  <c:v>764.7184342934364</c:v>
                </c:pt>
                <c:pt idx="164">
                  <c:v>724.6855736743892</c:v>
                </c:pt>
                <c:pt idx="165">
                  <c:v>683.7697953130767</c:v>
                </c:pt>
                <c:pt idx="166">
                  <c:v>642.020948782838</c:v>
                </c:pt>
                <c:pt idx="167">
                  <c:v>599.4898986222532</c:v>
                </c:pt>
                <c:pt idx="168">
                  <c:v>556.2284623645371</c:v>
                </c:pt>
                <c:pt idx="169">
                  <c:v>512.2893474058562</c:v>
                </c:pt>
                <c:pt idx="170">
                  <c:v>467.72608678948353</c:v>
                </c:pt>
                <c:pt idx="171">
                  <c:v>422.5929739840406</c:v>
                </c:pt>
                <c:pt idx="172">
                  <c:v>376.9449967352533</c:v>
                </c:pt>
                <c:pt idx="173">
                  <c:v>330.83777007187194</c:v>
                </c:pt>
                <c:pt idx="174">
                  <c:v>284.3274685473098</c:v>
                </c:pt>
                <c:pt idx="175">
                  <c:v>237.4707577996118</c:v>
                </c:pt>
                <c:pt idx="176">
                  <c:v>190.32472551310104</c:v>
                </c:pt>
                <c:pt idx="177">
                  <c:v>142.94681186582912</c:v>
                </c:pt>
                <c:pt idx="178">
                  <c:v>95.39473954756701</c:v>
                </c:pt>
                <c:pt idx="179">
                  <c:v>47.72644343359695</c:v>
                </c:pt>
                <c:pt idx="180">
                  <c:v>5.026317049445998E-13</c:v>
                </c:pt>
              </c:numCache>
            </c:numRef>
          </c:yVal>
        </c:ser>
        <c:ser>
          <c:idx val="2"/>
          <c:order val="2"/>
          <c:tx>
            <c:v>Fx4_loc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3"/>
              </a:solidFill>
              <a:ln xmlns:a="http://schemas.openxmlformats.org/drawingml/2006/main" cmpd="sng">
                <a:solidFill>
                  <a:schemeClr val="accent3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Feuil1!$O$32:$O$212</c:f>
              <c:numCache>
                <c:formatCode>0.000</c:formatCode>
                <c:ptCount val="181"/>
                <c:pt idx="0">
                  <c:v>0</c:v>
                </c:pt>
                <c:pt idx="1">
                  <c:v>47.726443433596984</c:v>
                </c:pt>
                <c:pt idx="2">
                  <c:v>95.39473954756518</c:v>
                </c:pt>
                <c:pt idx="3">
                  <c:v>142.94681186582778</c:v>
                </c:pt>
                <c:pt idx="4">
                  <c:v>190.32472551310028</c:v>
                </c:pt>
                <c:pt idx="5">
                  <c:v>237.47075779961156</c:v>
                </c:pt>
                <c:pt idx="6">
                  <c:v>284.32746854731005</c:v>
                </c:pt>
                <c:pt idx="7">
                  <c:v>330.8377700718728</c:v>
                </c:pt>
                <c:pt idx="8">
                  <c:v>376.94499673525456</c:v>
                </c:pt>
                <c:pt idx="9">
                  <c:v>422.5929739840401</c:v>
                </c:pt>
                <c:pt idx="10">
                  <c:v>467.72608678948353</c:v>
                </c:pt>
                <c:pt idx="11">
                  <c:v>512.2893474058544</c:v>
                </c:pt>
                <c:pt idx="12">
                  <c:v>556.2284623645359</c:v>
                </c:pt>
                <c:pt idx="13">
                  <c:v>599.4898986222526</c:v>
                </c:pt>
                <c:pt idx="14">
                  <c:v>642.0209487828379</c:v>
                </c:pt>
                <c:pt idx="15">
                  <c:v>683.7697953130769</c:v>
                </c:pt>
                <c:pt idx="16">
                  <c:v>724.6855736743897</c:v>
                </c:pt>
                <c:pt idx="17">
                  <c:v>764.7184342934356</c:v>
                </c:pt>
                <c:pt idx="18">
                  <c:v>803.8196032961393</c:v>
                </c:pt>
                <c:pt idx="19">
                  <c:v>841.9414419311446</c:v>
                </c:pt>
                <c:pt idx="20">
                  <c:v>879.0375046102939</c:v>
                </c:pt>
                <c:pt idx="21">
                  <c:v>915.0625954954232</c:v>
                </c:pt>
                <c:pt idx="22">
                  <c:v>949.9728235625283</c:v>
                </c:pt>
                <c:pt idx="23">
                  <c:v>983.7256560762182</c:v>
                </c:pt>
                <c:pt idx="24">
                  <c:v>1016.2799704093002</c:v>
                </c:pt>
                <c:pt idx="25">
                  <c:v>1047.5961041443672</c:v>
                </c:pt>
                <c:pt idx="26">
                  <c:v>1077.6359033963438</c:v>
                </c:pt>
                <c:pt idx="27">
                  <c:v>1106.3627692971172</c:v>
                </c:pt>
                <c:pt idx="28">
                  <c:v>1133.7417025856223</c:v>
                </c:pt>
                <c:pt idx="29">
                  <c:v>1159.7393462490481</c:v>
                </c:pt>
                <c:pt idx="30">
                  <c:v>1184.3240261632209</c:v>
                </c:pt>
                <c:pt idx="31">
                  <c:v>1207.465789682645</c:v>
                </c:pt>
                <c:pt idx="32">
                  <c:v>1229.1364421331873</c:v>
                </c:pt>
                <c:pt idx="33">
                  <c:v>1249.3095811629448</c:v>
                </c:pt>
                <c:pt idx="34">
                  <c:v>1267.960628909444</c:v>
                </c:pt>
                <c:pt idx="35">
                  <c:v>1285.066861943979</c:v>
                </c:pt>
                <c:pt idx="36">
                  <c:v>1300.6074389566104</c:v>
                </c:pt>
                <c:pt idx="37">
                  <c:v>1314.5634261480911</c:v>
                </c:pt>
                <c:pt idx="38">
                  <c:v>1326.917820297783</c:v>
                </c:pt>
                <c:pt idx="39">
                  <c:v>1337.655569479463</c:v>
                </c:pt>
                <c:pt idx="40">
                  <c:v>1346.7635913997776</c:v>
                </c:pt>
                <c:pt idx="41">
                  <c:v>1354.2307893369991</c:v>
                </c:pt>
                <c:pt idx="42">
                  <c:v>1360.0480656606753</c:v>
                </c:pt>
                <c:pt idx="43">
                  <c:v>1364.208332915688</c:v>
                </c:pt>
                <c:pt idx="44">
                  <c:v>1366.7065224572277</c:v>
                </c:pt>
                <c:pt idx="45">
                  <c:v>1367.539590626154</c:v>
                </c:pt>
                <c:pt idx="46">
                  <c:v>1366.7065224572277</c:v>
                </c:pt>
                <c:pt idx="47">
                  <c:v>1364.208332915688</c:v>
                </c:pt>
                <c:pt idx="48">
                  <c:v>1360.0480656606753</c:v>
                </c:pt>
                <c:pt idx="49">
                  <c:v>1354.2307893369994</c:v>
                </c:pt>
                <c:pt idx="50">
                  <c:v>1346.7635913997776</c:v>
                </c:pt>
                <c:pt idx="51">
                  <c:v>1337.6555694794633</c:v>
                </c:pt>
                <c:pt idx="52">
                  <c:v>1326.917820297783</c:v>
                </c:pt>
                <c:pt idx="53">
                  <c:v>1314.5634261480911</c:v>
                </c:pt>
                <c:pt idx="54">
                  <c:v>1300.6074389566106</c:v>
                </c:pt>
                <c:pt idx="55">
                  <c:v>1285.066861943979</c:v>
                </c:pt>
                <c:pt idx="56">
                  <c:v>1267.960628909444</c:v>
                </c:pt>
                <c:pt idx="57">
                  <c:v>1249.309581162945</c:v>
                </c:pt>
                <c:pt idx="58">
                  <c:v>1229.1364421331873</c:v>
                </c:pt>
                <c:pt idx="59">
                  <c:v>1207.4657896826452</c:v>
                </c:pt>
                <c:pt idx="60">
                  <c:v>1184.324026163221</c:v>
                </c:pt>
                <c:pt idx="61">
                  <c:v>1159.7393462490481</c:v>
                </c:pt>
                <c:pt idx="62">
                  <c:v>1133.7417025856223</c:v>
                </c:pt>
                <c:pt idx="63">
                  <c:v>1106.3627692971172</c:v>
                </c:pt>
                <c:pt idx="64">
                  <c:v>1077.6359033963438</c:v>
                </c:pt>
                <c:pt idx="65">
                  <c:v>1047.5961041443672</c:v>
                </c:pt>
                <c:pt idx="66">
                  <c:v>1016.2799704093004</c:v>
                </c:pt>
                <c:pt idx="67">
                  <c:v>983.7256560762187</c:v>
                </c:pt>
                <c:pt idx="68">
                  <c:v>949.9728235625282</c:v>
                </c:pt>
                <c:pt idx="69">
                  <c:v>915.0625954954234</c:v>
                </c:pt>
                <c:pt idx="70">
                  <c:v>879.0375046102943</c:v>
                </c:pt>
                <c:pt idx="71">
                  <c:v>841.9414419311449</c:v>
                </c:pt>
                <c:pt idx="72">
                  <c:v>803.8196032961395</c:v>
                </c:pt>
                <c:pt idx="73">
                  <c:v>764.7184342934356</c:v>
                </c:pt>
                <c:pt idx="74">
                  <c:v>724.6855736743897</c:v>
                </c:pt>
                <c:pt idx="75">
                  <c:v>683.7697953130769</c:v>
                </c:pt>
                <c:pt idx="76">
                  <c:v>642.0209487828382</c:v>
                </c:pt>
                <c:pt idx="77">
                  <c:v>599.4898986222524</c:v>
                </c:pt>
                <c:pt idx="78">
                  <c:v>556.2284623645362</c:v>
                </c:pt>
                <c:pt idx="79">
                  <c:v>512.2893474058548</c:v>
                </c:pt>
                <c:pt idx="80">
                  <c:v>467.72608678948376</c:v>
                </c:pt>
                <c:pt idx="81">
                  <c:v>422.59297398404027</c:v>
                </c:pt>
                <c:pt idx="82">
                  <c:v>376.94499673525524</c:v>
                </c:pt>
                <c:pt idx="83">
                  <c:v>330.8377700718728</c:v>
                </c:pt>
                <c:pt idx="84">
                  <c:v>284.32746854731005</c:v>
                </c:pt>
                <c:pt idx="85">
                  <c:v>237.47075779961148</c:v>
                </c:pt>
                <c:pt idx="86">
                  <c:v>190.3247255131007</c:v>
                </c:pt>
                <c:pt idx="87">
                  <c:v>142.94681186582815</c:v>
                </c:pt>
                <c:pt idx="88">
                  <c:v>95.39473954756548</c:v>
                </c:pt>
                <c:pt idx="89">
                  <c:v>47.726443433596614</c:v>
                </c:pt>
                <c:pt idx="90">
                  <c:v>1.6754390164819992E-13</c:v>
                </c:pt>
                <c:pt idx="91">
                  <c:v>-47.72644343359689</c:v>
                </c:pt>
                <c:pt idx="92">
                  <c:v>-95.39473954756453</c:v>
                </c:pt>
                <c:pt idx="93">
                  <c:v>-142.94681186582724</c:v>
                </c:pt>
                <c:pt idx="94">
                  <c:v>-190.3247255131004</c:v>
                </c:pt>
                <c:pt idx="95">
                  <c:v>-237.47075779961176</c:v>
                </c:pt>
                <c:pt idx="96">
                  <c:v>-284.3274685473097</c:v>
                </c:pt>
                <c:pt idx="97">
                  <c:v>-330.83777007187246</c:v>
                </c:pt>
                <c:pt idx="98">
                  <c:v>-376.94499673525434</c:v>
                </c:pt>
                <c:pt idx="99">
                  <c:v>-422.59297398404055</c:v>
                </c:pt>
                <c:pt idx="100">
                  <c:v>-467.7260867894834</c:v>
                </c:pt>
                <c:pt idx="101">
                  <c:v>-512.2893474058544</c:v>
                </c:pt>
                <c:pt idx="102">
                  <c:v>-556.2284623645354</c:v>
                </c:pt>
                <c:pt idx="103">
                  <c:v>-599.4898986222521</c:v>
                </c:pt>
                <c:pt idx="104">
                  <c:v>-642.020948782838</c:v>
                </c:pt>
                <c:pt idx="105">
                  <c:v>-683.7697953130771</c:v>
                </c:pt>
                <c:pt idx="106">
                  <c:v>-724.6855736743896</c:v>
                </c:pt>
                <c:pt idx="107">
                  <c:v>-764.7184342934354</c:v>
                </c:pt>
                <c:pt idx="108">
                  <c:v>-803.8196032961392</c:v>
                </c:pt>
                <c:pt idx="109">
                  <c:v>-841.9414419311441</c:v>
                </c:pt>
                <c:pt idx="110">
                  <c:v>-879.0375046102939</c:v>
                </c:pt>
                <c:pt idx="111">
                  <c:v>-915.0625954954232</c:v>
                </c:pt>
                <c:pt idx="112">
                  <c:v>-949.9728235625284</c:v>
                </c:pt>
                <c:pt idx="113">
                  <c:v>-983.725656076218</c:v>
                </c:pt>
                <c:pt idx="114">
                  <c:v>-1016.2799704093001</c:v>
                </c:pt>
                <c:pt idx="115">
                  <c:v>-1047.5961041443672</c:v>
                </c:pt>
                <c:pt idx="116">
                  <c:v>-1077.6359033963438</c:v>
                </c:pt>
                <c:pt idx="117">
                  <c:v>-1106.362769297117</c:v>
                </c:pt>
                <c:pt idx="118">
                  <c:v>-1133.7417025856219</c:v>
                </c:pt>
                <c:pt idx="119">
                  <c:v>-1159.7393462490481</c:v>
                </c:pt>
                <c:pt idx="120">
                  <c:v>-1184.3240261632207</c:v>
                </c:pt>
                <c:pt idx="121">
                  <c:v>-1207.4657896826452</c:v>
                </c:pt>
                <c:pt idx="122">
                  <c:v>-1229.136442133187</c:v>
                </c:pt>
                <c:pt idx="123">
                  <c:v>-1249.309581162945</c:v>
                </c:pt>
                <c:pt idx="124">
                  <c:v>-1267.9606289094438</c:v>
                </c:pt>
                <c:pt idx="125">
                  <c:v>-1285.0668619439787</c:v>
                </c:pt>
                <c:pt idx="126">
                  <c:v>-1300.6074389566104</c:v>
                </c:pt>
                <c:pt idx="127">
                  <c:v>-1314.5634261480914</c:v>
                </c:pt>
                <c:pt idx="128">
                  <c:v>-1326.917820297783</c:v>
                </c:pt>
                <c:pt idx="129">
                  <c:v>-1337.655569479463</c:v>
                </c:pt>
                <c:pt idx="130">
                  <c:v>-1346.7635913997776</c:v>
                </c:pt>
                <c:pt idx="131">
                  <c:v>-1354.2307893369994</c:v>
                </c:pt>
                <c:pt idx="132">
                  <c:v>-1360.0480656606753</c:v>
                </c:pt>
                <c:pt idx="133">
                  <c:v>-1364.208332915688</c:v>
                </c:pt>
                <c:pt idx="134">
                  <c:v>-1366.7065224572275</c:v>
                </c:pt>
                <c:pt idx="135">
                  <c:v>-1367.539590626154</c:v>
                </c:pt>
                <c:pt idx="136">
                  <c:v>-1366.7065224572277</c:v>
                </c:pt>
                <c:pt idx="137">
                  <c:v>-1364.2083329156883</c:v>
                </c:pt>
                <c:pt idx="138">
                  <c:v>-1360.0480656606753</c:v>
                </c:pt>
                <c:pt idx="139">
                  <c:v>-1354.2307893369994</c:v>
                </c:pt>
                <c:pt idx="140">
                  <c:v>-1346.7635913997776</c:v>
                </c:pt>
                <c:pt idx="141">
                  <c:v>-1337.6555694794636</c:v>
                </c:pt>
                <c:pt idx="142">
                  <c:v>-1326.9178202977832</c:v>
                </c:pt>
                <c:pt idx="143">
                  <c:v>-1314.563426148091</c:v>
                </c:pt>
                <c:pt idx="144">
                  <c:v>-1300.6074389566106</c:v>
                </c:pt>
                <c:pt idx="145">
                  <c:v>-1285.0668619439791</c:v>
                </c:pt>
                <c:pt idx="146">
                  <c:v>-1267.960628909444</c:v>
                </c:pt>
                <c:pt idx="147">
                  <c:v>-1249.3095811629448</c:v>
                </c:pt>
                <c:pt idx="148">
                  <c:v>-1229.1364421331873</c:v>
                </c:pt>
                <c:pt idx="149">
                  <c:v>-1207.4657896826452</c:v>
                </c:pt>
                <c:pt idx="150">
                  <c:v>-1184.3240261632209</c:v>
                </c:pt>
                <c:pt idx="151">
                  <c:v>-1159.7393462490484</c:v>
                </c:pt>
                <c:pt idx="152">
                  <c:v>-1133.7417025856228</c:v>
                </c:pt>
                <c:pt idx="153">
                  <c:v>-1106.3627692971172</c:v>
                </c:pt>
                <c:pt idx="154">
                  <c:v>-1077.6359033963433</c:v>
                </c:pt>
                <c:pt idx="155">
                  <c:v>-1047.5961041443675</c:v>
                </c:pt>
                <c:pt idx="156">
                  <c:v>-1016.2799704093009</c:v>
                </c:pt>
                <c:pt idx="157">
                  <c:v>-983.7256560762191</c:v>
                </c:pt>
                <c:pt idx="158">
                  <c:v>-949.9728235625288</c:v>
                </c:pt>
                <c:pt idx="159">
                  <c:v>-915.062595495423</c:v>
                </c:pt>
                <c:pt idx="160">
                  <c:v>-879.0375046102944</c:v>
                </c:pt>
                <c:pt idx="161">
                  <c:v>-841.9414419311455</c:v>
                </c:pt>
                <c:pt idx="162">
                  <c:v>-803.8196032961397</c:v>
                </c:pt>
                <c:pt idx="163">
                  <c:v>-764.7184342934363</c:v>
                </c:pt>
                <c:pt idx="164">
                  <c:v>-724.685573674391</c:v>
                </c:pt>
                <c:pt idx="165">
                  <c:v>-683.7697953130776</c:v>
                </c:pt>
                <c:pt idx="166">
                  <c:v>-642.0209487828379</c:v>
                </c:pt>
                <c:pt idx="167">
                  <c:v>-599.4898986222521</c:v>
                </c:pt>
                <c:pt idx="168">
                  <c:v>-556.2284623645359</c:v>
                </c:pt>
                <c:pt idx="169">
                  <c:v>-512.2893474058549</c:v>
                </c:pt>
                <c:pt idx="170">
                  <c:v>-467.72608678948336</c:v>
                </c:pt>
                <c:pt idx="171">
                  <c:v>-422.5929739840404</c:v>
                </c:pt>
                <c:pt idx="172">
                  <c:v>-376.9449967352554</c:v>
                </c:pt>
                <c:pt idx="173">
                  <c:v>-330.83777007187297</c:v>
                </c:pt>
                <c:pt idx="174">
                  <c:v>-284.32746854731084</c:v>
                </c:pt>
                <c:pt idx="175">
                  <c:v>-237.47075779961284</c:v>
                </c:pt>
                <c:pt idx="176">
                  <c:v>-190.3247255131009</c:v>
                </c:pt>
                <c:pt idx="177">
                  <c:v>-142.94681186582773</c:v>
                </c:pt>
                <c:pt idx="178">
                  <c:v>-95.39473954756444</c:v>
                </c:pt>
                <c:pt idx="179">
                  <c:v>-47.726443433596785</c:v>
                </c:pt>
                <c:pt idx="180">
                  <c:v>-3.3508780329639984E-13</c:v>
                </c:pt>
              </c:numCache>
            </c:numRef>
          </c:yVal>
        </c:ser>
        <c:ser>
          <c:idx val="3"/>
          <c:order val="3"/>
          <c:tx>
            <c:v>Fx1_loc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chemeClr val="accent4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Feuil1!$L$32:$L$212</c:f>
              <c:numCache>
                <c:formatCode>0.000</c:formatCode>
                <c:ptCount val="181"/>
                <c:pt idx="0">
                  <c:v>0</c:v>
                </c:pt>
                <c:pt idx="1">
                  <c:v>47.726443433596984</c:v>
                </c:pt>
                <c:pt idx="2">
                  <c:v>95.39473954756518</c:v>
                </c:pt>
                <c:pt idx="3">
                  <c:v>142.94681186582778</c:v>
                </c:pt>
                <c:pt idx="4">
                  <c:v>190.32472551310028</c:v>
                </c:pt>
                <c:pt idx="5">
                  <c:v>237.47075779961156</c:v>
                </c:pt>
                <c:pt idx="6">
                  <c:v>284.32746854731005</c:v>
                </c:pt>
                <c:pt idx="7">
                  <c:v>330.8377700718728</c:v>
                </c:pt>
                <c:pt idx="8">
                  <c:v>376.94499673525456</c:v>
                </c:pt>
                <c:pt idx="9">
                  <c:v>422.5929739840401</c:v>
                </c:pt>
                <c:pt idx="10">
                  <c:v>467.72608678948353</c:v>
                </c:pt>
                <c:pt idx="11">
                  <c:v>512.2893474058544</c:v>
                </c:pt>
                <c:pt idx="12">
                  <c:v>556.2284623645359</c:v>
                </c:pt>
                <c:pt idx="13">
                  <c:v>599.4898986222526</c:v>
                </c:pt>
                <c:pt idx="14">
                  <c:v>642.0209487828379</c:v>
                </c:pt>
                <c:pt idx="15">
                  <c:v>683.7697953130769</c:v>
                </c:pt>
                <c:pt idx="16">
                  <c:v>724.6855736743897</c:v>
                </c:pt>
                <c:pt idx="17">
                  <c:v>764.7184342934356</c:v>
                </c:pt>
                <c:pt idx="18">
                  <c:v>803.8196032961393</c:v>
                </c:pt>
                <c:pt idx="19">
                  <c:v>841.9414419311446</c:v>
                </c:pt>
                <c:pt idx="20">
                  <c:v>879.0375046102939</c:v>
                </c:pt>
                <c:pt idx="21">
                  <c:v>915.0625954954232</c:v>
                </c:pt>
                <c:pt idx="22">
                  <c:v>949.9728235625283</c:v>
                </c:pt>
                <c:pt idx="23">
                  <c:v>983.7256560762182</c:v>
                </c:pt>
                <c:pt idx="24">
                  <c:v>1016.2799704093002</c:v>
                </c:pt>
                <c:pt idx="25">
                  <c:v>1047.5961041443672</c:v>
                </c:pt>
                <c:pt idx="26">
                  <c:v>1077.6359033963438</c:v>
                </c:pt>
                <c:pt idx="27">
                  <c:v>1106.3627692971172</c:v>
                </c:pt>
                <c:pt idx="28">
                  <c:v>1133.7417025856223</c:v>
                </c:pt>
                <c:pt idx="29">
                  <c:v>1159.7393462490481</c:v>
                </c:pt>
                <c:pt idx="30">
                  <c:v>1184.3240261632209</c:v>
                </c:pt>
                <c:pt idx="31">
                  <c:v>1207.465789682645</c:v>
                </c:pt>
                <c:pt idx="32">
                  <c:v>1229.1364421331873</c:v>
                </c:pt>
                <c:pt idx="33">
                  <c:v>1249.3095811629448</c:v>
                </c:pt>
                <c:pt idx="34">
                  <c:v>1267.960628909444</c:v>
                </c:pt>
                <c:pt idx="35">
                  <c:v>1285.066861943979</c:v>
                </c:pt>
                <c:pt idx="36">
                  <c:v>1300.6074389566104</c:v>
                </c:pt>
                <c:pt idx="37">
                  <c:v>1314.5634261480911</c:v>
                </c:pt>
                <c:pt idx="38">
                  <c:v>1326.917820297783</c:v>
                </c:pt>
                <c:pt idx="39">
                  <c:v>1337.655569479463</c:v>
                </c:pt>
                <c:pt idx="40">
                  <c:v>1346.7635913997776</c:v>
                </c:pt>
                <c:pt idx="41">
                  <c:v>1354.2307893369991</c:v>
                </c:pt>
                <c:pt idx="42">
                  <c:v>1360.0480656606753</c:v>
                </c:pt>
                <c:pt idx="43">
                  <c:v>1364.208332915688</c:v>
                </c:pt>
                <c:pt idx="44">
                  <c:v>1366.7065224572277</c:v>
                </c:pt>
                <c:pt idx="45">
                  <c:v>1367.539590626154</c:v>
                </c:pt>
                <c:pt idx="46">
                  <c:v>1366.7065224572277</c:v>
                </c:pt>
                <c:pt idx="47">
                  <c:v>1364.208332915688</c:v>
                </c:pt>
                <c:pt idx="48">
                  <c:v>1360.0480656606753</c:v>
                </c:pt>
                <c:pt idx="49">
                  <c:v>1354.2307893369994</c:v>
                </c:pt>
                <c:pt idx="50">
                  <c:v>1346.7635913997776</c:v>
                </c:pt>
                <c:pt idx="51">
                  <c:v>1337.6555694794633</c:v>
                </c:pt>
                <c:pt idx="52">
                  <c:v>1326.917820297783</c:v>
                </c:pt>
                <c:pt idx="53">
                  <c:v>1314.5634261480911</c:v>
                </c:pt>
                <c:pt idx="54">
                  <c:v>1300.6074389566106</c:v>
                </c:pt>
                <c:pt idx="55">
                  <c:v>1285.066861943979</c:v>
                </c:pt>
                <c:pt idx="56">
                  <c:v>1267.960628909444</c:v>
                </c:pt>
                <c:pt idx="57">
                  <c:v>1249.309581162945</c:v>
                </c:pt>
                <c:pt idx="58">
                  <c:v>1229.1364421331873</c:v>
                </c:pt>
                <c:pt idx="59">
                  <c:v>1207.4657896826452</c:v>
                </c:pt>
                <c:pt idx="60">
                  <c:v>1184.324026163221</c:v>
                </c:pt>
                <c:pt idx="61">
                  <c:v>1159.7393462490481</c:v>
                </c:pt>
                <c:pt idx="62">
                  <c:v>1133.7417025856223</c:v>
                </c:pt>
                <c:pt idx="63">
                  <c:v>1106.3627692971172</c:v>
                </c:pt>
                <c:pt idx="64">
                  <c:v>1077.6359033963438</c:v>
                </c:pt>
                <c:pt idx="65">
                  <c:v>1047.5961041443672</c:v>
                </c:pt>
                <c:pt idx="66">
                  <c:v>1016.2799704093004</c:v>
                </c:pt>
                <c:pt idx="67">
                  <c:v>983.7256560762187</c:v>
                </c:pt>
                <c:pt idx="68">
                  <c:v>949.9728235625282</c:v>
                </c:pt>
                <c:pt idx="69">
                  <c:v>915.0625954954234</c:v>
                </c:pt>
                <c:pt idx="70">
                  <c:v>879.0375046102943</c:v>
                </c:pt>
                <c:pt idx="71">
                  <c:v>841.9414419311449</c:v>
                </c:pt>
                <c:pt idx="72">
                  <c:v>803.8196032961395</c:v>
                </c:pt>
                <c:pt idx="73">
                  <c:v>764.7184342934356</c:v>
                </c:pt>
                <c:pt idx="74">
                  <c:v>724.6855736743897</c:v>
                </c:pt>
                <c:pt idx="75">
                  <c:v>683.7697953130769</c:v>
                </c:pt>
                <c:pt idx="76">
                  <c:v>642.0209487828382</c:v>
                </c:pt>
                <c:pt idx="77">
                  <c:v>599.4898986222524</c:v>
                </c:pt>
                <c:pt idx="78">
                  <c:v>556.2284623645362</c:v>
                </c:pt>
                <c:pt idx="79">
                  <c:v>512.2893474058548</c:v>
                </c:pt>
                <c:pt idx="80">
                  <c:v>467.72608678948376</c:v>
                </c:pt>
                <c:pt idx="81">
                  <c:v>422.59297398404027</c:v>
                </c:pt>
                <c:pt idx="82">
                  <c:v>376.94499673525524</c:v>
                </c:pt>
                <c:pt idx="83">
                  <c:v>330.8377700718728</c:v>
                </c:pt>
                <c:pt idx="84">
                  <c:v>284.32746854731005</c:v>
                </c:pt>
                <c:pt idx="85">
                  <c:v>237.47075779961148</c:v>
                </c:pt>
                <c:pt idx="86">
                  <c:v>190.3247255131007</c:v>
                </c:pt>
                <c:pt idx="87">
                  <c:v>142.94681186582815</c:v>
                </c:pt>
                <c:pt idx="88">
                  <c:v>95.39473954756548</c:v>
                </c:pt>
                <c:pt idx="89">
                  <c:v>47.726443433596614</c:v>
                </c:pt>
                <c:pt idx="90">
                  <c:v>1.6754390164819992E-13</c:v>
                </c:pt>
                <c:pt idx="91">
                  <c:v>-47.72644343359689</c:v>
                </c:pt>
                <c:pt idx="92">
                  <c:v>-95.39473954756453</c:v>
                </c:pt>
                <c:pt idx="93">
                  <c:v>-142.94681186582724</c:v>
                </c:pt>
                <c:pt idx="94">
                  <c:v>-190.3247255131004</c:v>
                </c:pt>
                <c:pt idx="95">
                  <c:v>-237.47075779961176</c:v>
                </c:pt>
                <c:pt idx="96">
                  <c:v>-284.3274685473097</c:v>
                </c:pt>
                <c:pt idx="97">
                  <c:v>-330.83777007187246</c:v>
                </c:pt>
                <c:pt idx="98">
                  <c:v>-376.94499673525434</c:v>
                </c:pt>
                <c:pt idx="99">
                  <c:v>-422.59297398404055</c:v>
                </c:pt>
                <c:pt idx="100">
                  <c:v>-467.7260867894834</c:v>
                </c:pt>
                <c:pt idx="101">
                  <c:v>-512.2893474058544</c:v>
                </c:pt>
                <c:pt idx="102">
                  <c:v>-556.2284623645354</c:v>
                </c:pt>
                <c:pt idx="103">
                  <c:v>-599.4898986222521</c:v>
                </c:pt>
                <c:pt idx="104">
                  <c:v>-642.020948782838</c:v>
                </c:pt>
                <c:pt idx="105">
                  <c:v>-683.7697953130771</c:v>
                </c:pt>
                <c:pt idx="106">
                  <c:v>-724.6855736743896</c:v>
                </c:pt>
                <c:pt idx="107">
                  <c:v>-764.7184342934354</c:v>
                </c:pt>
                <c:pt idx="108">
                  <c:v>-803.8196032961392</c:v>
                </c:pt>
                <c:pt idx="109">
                  <c:v>-841.9414419311441</c:v>
                </c:pt>
                <c:pt idx="110">
                  <c:v>-879.0375046102939</c:v>
                </c:pt>
                <c:pt idx="111">
                  <c:v>-915.0625954954232</c:v>
                </c:pt>
                <c:pt idx="112">
                  <c:v>-949.9728235625284</c:v>
                </c:pt>
                <c:pt idx="113">
                  <c:v>-983.725656076218</c:v>
                </c:pt>
                <c:pt idx="114">
                  <c:v>-1016.2799704093001</c:v>
                </c:pt>
                <c:pt idx="115">
                  <c:v>-1047.5961041443672</c:v>
                </c:pt>
                <c:pt idx="116">
                  <c:v>-1077.6359033963438</c:v>
                </c:pt>
                <c:pt idx="117">
                  <c:v>-1106.362769297117</c:v>
                </c:pt>
                <c:pt idx="118">
                  <c:v>-1133.7417025856219</c:v>
                </c:pt>
                <c:pt idx="119">
                  <c:v>-1159.7393462490481</c:v>
                </c:pt>
                <c:pt idx="120">
                  <c:v>-1184.3240261632207</c:v>
                </c:pt>
                <c:pt idx="121">
                  <c:v>-1207.4657896826452</c:v>
                </c:pt>
                <c:pt idx="122">
                  <c:v>-1229.136442133187</c:v>
                </c:pt>
                <c:pt idx="123">
                  <c:v>-1249.309581162945</c:v>
                </c:pt>
                <c:pt idx="124">
                  <c:v>-1267.9606289094438</c:v>
                </c:pt>
                <c:pt idx="125">
                  <c:v>-1285.0668619439787</c:v>
                </c:pt>
                <c:pt idx="126">
                  <c:v>-1300.6074389566104</c:v>
                </c:pt>
                <c:pt idx="127">
                  <c:v>-1314.5634261480914</c:v>
                </c:pt>
                <c:pt idx="128">
                  <c:v>-1326.917820297783</c:v>
                </c:pt>
                <c:pt idx="129">
                  <c:v>-1337.655569479463</c:v>
                </c:pt>
                <c:pt idx="130">
                  <c:v>-1346.7635913997776</c:v>
                </c:pt>
                <c:pt idx="131">
                  <c:v>-1354.2307893369994</c:v>
                </c:pt>
                <c:pt idx="132">
                  <c:v>-1360.0480656606753</c:v>
                </c:pt>
                <c:pt idx="133">
                  <c:v>-1364.208332915688</c:v>
                </c:pt>
                <c:pt idx="134">
                  <c:v>-1366.7065224572275</c:v>
                </c:pt>
                <c:pt idx="135">
                  <c:v>-1367.539590626154</c:v>
                </c:pt>
                <c:pt idx="136">
                  <c:v>-1366.7065224572277</c:v>
                </c:pt>
                <c:pt idx="137">
                  <c:v>-1364.2083329156883</c:v>
                </c:pt>
                <c:pt idx="138">
                  <c:v>-1360.0480656606753</c:v>
                </c:pt>
                <c:pt idx="139">
                  <c:v>-1354.2307893369994</c:v>
                </c:pt>
                <c:pt idx="140">
                  <c:v>-1346.7635913997776</c:v>
                </c:pt>
                <c:pt idx="141">
                  <c:v>-1337.6555694794636</c:v>
                </c:pt>
                <c:pt idx="142">
                  <c:v>-1326.9178202977832</c:v>
                </c:pt>
                <c:pt idx="143">
                  <c:v>-1314.563426148091</c:v>
                </c:pt>
                <c:pt idx="144">
                  <c:v>-1300.6074389566106</c:v>
                </c:pt>
                <c:pt idx="145">
                  <c:v>-1285.0668619439791</c:v>
                </c:pt>
                <c:pt idx="146">
                  <c:v>-1267.960628909444</c:v>
                </c:pt>
                <c:pt idx="147">
                  <c:v>-1249.3095811629448</c:v>
                </c:pt>
                <c:pt idx="148">
                  <c:v>-1229.1364421331873</c:v>
                </c:pt>
                <c:pt idx="149">
                  <c:v>-1207.4657896826452</c:v>
                </c:pt>
                <c:pt idx="150">
                  <c:v>-1184.3240261632209</c:v>
                </c:pt>
                <c:pt idx="151">
                  <c:v>-1159.7393462490484</c:v>
                </c:pt>
                <c:pt idx="152">
                  <c:v>-1133.7417025856228</c:v>
                </c:pt>
                <c:pt idx="153">
                  <c:v>-1106.3627692971172</c:v>
                </c:pt>
                <c:pt idx="154">
                  <c:v>-1077.6359033963433</c:v>
                </c:pt>
                <c:pt idx="155">
                  <c:v>-1047.5961041443675</c:v>
                </c:pt>
                <c:pt idx="156">
                  <c:v>-1016.2799704093009</c:v>
                </c:pt>
                <c:pt idx="157">
                  <c:v>-983.7256560762191</c:v>
                </c:pt>
                <c:pt idx="158">
                  <c:v>-949.9728235625288</c:v>
                </c:pt>
                <c:pt idx="159">
                  <c:v>-915.062595495423</c:v>
                </c:pt>
                <c:pt idx="160">
                  <c:v>-879.0375046102944</c:v>
                </c:pt>
                <c:pt idx="161">
                  <c:v>-841.9414419311455</c:v>
                </c:pt>
                <c:pt idx="162">
                  <c:v>-803.8196032961397</c:v>
                </c:pt>
                <c:pt idx="163">
                  <c:v>-764.7184342934363</c:v>
                </c:pt>
                <c:pt idx="164">
                  <c:v>-724.685573674391</c:v>
                </c:pt>
                <c:pt idx="165">
                  <c:v>-683.7697953130776</c:v>
                </c:pt>
                <c:pt idx="166">
                  <c:v>-642.0209487828379</c:v>
                </c:pt>
                <c:pt idx="167">
                  <c:v>-599.4898986222521</c:v>
                </c:pt>
                <c:pt idx="168">
                  <c:v>-556.2284623645359</c:v>
                </c:pt>
                <c:pt idx="169">
                  <c:v>-512.2893474058549</c:v>
                </c:pt>
                <c:pt idx="170">
                  <c:v>-467.72608678948336</c:v>
                </c:pt>
                <c:pt idx="171">
                  <c:v>-422.5929739840404</c:v>
                </c:pt>
                <c:pt idx="172">
                  <c:v>-376.9449967352554</c:v>
                </c:pt>
                <c:pt idx="173">
                  <c:v>-330.83777007187297</c:v>
                </c:pt>
                <c:pt idx="174">
                  <c:v>-284.32746854731084</c:v>
                </c:pt>
                <c:pt idx="175">
                  <c:v>-237.47075779961284</c:v>
                </c:pt>
                <c:pt idx="176">
                  <c:v>-190.3247255131009</c:v>
                </c:pt>
                <c:pt idx="177">
                  <c:v>-142.94681186582773</c:v>
                </c:pt>
                <c:pt idx="178">
                  <c:v>-95.39473954756444</c:v>
                </c:pt>
                <c:pt idx="179">
                  <c:v>-47.726443433596785</c:v>
                </c:pt>
                <c:pt idx="180">
                  <c:v>-3.3508780329639984E-13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014992"/>
        <c:axId val="791800127"/>
      </c:scatterChart>
      <c:valAx>
        <c:axId val="791800127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Force en 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412014992"/>
        <c:crosses val="autoZero"/>
        <c:crossBetween val="midCat"/>
      </c:valAx>
      <c:valAx>
        <c:axId val="1412014992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791800127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Force Y repère local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Fy2_loc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Feuil1!$Q$32:$Q$212</c:f>
              <c:numCache>
                <c:formatCode>0.000</c:formatCode>
                <c:ptCount val="181"/>
                <c:pt idx="0">
                  <c:v>-2995.0512129347067</c:v>
                </c:pt>
                <c:pt idx="1">
                  <c:v>-2994.595899636306</c:v>
                </c:pt>
                <c:pt idx="2">
                  <c:v>-2993.223843909413</c:v>
                </c:pt>
                <c:pt idx="3">
                  <c:v>-2990.9167382084565</c:v>
                </c:pt>
                <c:pt idx="4">
                  <c:v>-2987.644202915485</c:v>
                </c:pt>
                <c:pt idx="5">
                  <c:v>-2983.3639850536924</c:v>
                </c:pt>
                <c:pt idx="6">
                  <c:v>-2978.0222350430654</c:v>
                </c:pt>
                <c:pt idx="7">
                  <c:v>-2971.5538600634613</c:v>
                </c:pt>
                <c:pt idx="8">
                  <c:v>-2963.8829521926655</c:v>
                </c:pt>
                <c:pt idx="9">
                  <c:v>-2954.9232890983358</c:v>
                </c:pt>
                <c:pt idx="10">
                  <c:v>-2944.578904685063</c:v>
                </c:pt>
                <c:pt idx="11">
                  <c:v>-2932.7447267329535</c:v>
                </c:pt>
                <c:pt idx="12">
                  <c:v>-2919.307278213974</c:v>
                </c:pt>
                <c:pt idx="13">
                  <c:v>-2904.145438638551</c:v>
                </c:pt>
                <c:pt idx="14">
                  <c:v>-2887.1312614691924</c:v>
                </c:pt>
                <c:pt idx="15">
                  <c:v>-2868.130843341818</c:v>
                </c:pt>
                <c:pt idx="16">
                  <c:v>-2847.0052405604633</c:v>
                </c:pt>
                <c:pt idx="17">
                  <c:v>-2823.611428078497</c:v>
                </c:pt>
                <c:pt idx="18">
                  <c:v>-2797.803295950631</c:v>
                </c:pt>
                <c:pt idx="19">
                  <c:v>-2769.43267803605</c:v>
                </c:pt>
                <c:pt idx="20">
                  <c:v>-2738.350407554843</c:v>
                </c:pt>
                <c:pt idx="21">
                  <c:v>-2704.407393948624</c:v>
                </c:pt>
                <c:pt idx="22">
                  <c:v>-2667.4557153723817</c:v>
                </c:pt>
                <c:pt idx="23">
                  <c:v>-2627.349721048983</c:v>
                </c:pt>
                <c:pt idx="24">
                  <c:v>-2583.947137650715</c:v>
                </c:pt>
                <c:pt idx="25">
                  <c:v>-2537.1101738342836</c:v>
                </c:pt>
                <c:pt idx="26">
                  <c:v>-2486.7066170468493</c:v>
                </c:pt>
                <c:pt idx="27">
                  <c:v>-2432.610916741174</c:v>
                </c:pt>
                <c:pt idx="28">
                  <c:v>-2374.705248187595</c:v>
                </c:pt>
                <c:pt idx="29">
                  <c:v>-2312.8805511491823</c:v>
                </c:pt>
                <c:pt idx="30">
                  <c:v>-2247.0375377936616</c:v>
                </c:pt>
                <c:pt idx="31">
                  <c:v>-2177.087664350992</c:v>
                </c:pt>
                <c:pt idx="32">
                  <c:v>-2102.9540611883526</c:v>
                </c:pt>
                <c:pt idx="33">
                  <c:v>-2024.5724161636585</c:v>
                </c:pt>
                <c:pt idx="34">
                  <c:v>-1941.891806334098</c:v>
                </c:pt>
                <c:pt idx="35">
                  <c:v>-1854.875473336061</c:v>
                </c:pt>
                <c:pt idx="36">
                  <c:v>-1763.5015380165123</c:v>
                </c:pt>
                <c:pt idx="37">
                  <c:v>-1667.7636501816942</c:v>
                </c:pt>
                <c:pt idx="38">
                  <c:v>-1567.6715696358847</c:v>
                </c:pt>
                <c:pt idx="39">
                  <c:v>-1463.251675009255</c:v>
                </c:pt>
                <c:pt idx="40">
                  <c:v>-1354.5473972180012</c:v>
                </c:pt>
                <c:pt idx="41">
                  <c:v>-1241.6195747603072</c:v>
                </c:pt>
                <c:pt idx="42">
                  <c:v>-1124.5467284264842</c:v>
                </c:pt>
                <c:pt idx="43">
                  <c:v>-1003.4252533891303</c:v>
                </c:pt>
                <c:pt idx="44">
                  <c:v>-878.3695270373805</c:v>
                </c:pt>
                <c:pt idx="45">
                  <c:v>-749.5119313263077</c:v>
                </c:pt>
                <c:pt idx="46">
                  <c:v>-617.002788826489</c:v>
                </c:pt>
                <c:pt idx="47">
                  <c:v>-481.01021207740416</c:v>
                </c:pt>
                <c:pt idx="48">
                  <c:v>-341.71986626989366</c:v>
                </c:pt>
                <c:pt idx="49">
                  <c:v>-199.33464570515252</c:v>
                </c:pt>
                <c:pt idx="50">
                  <c:v>-54.074264898650995</c:v>
                </c:pt>
                <c:pt idx="51">
                  <c:v>93.82523438508849</c:v>
                </c:pt>
                <c:pt idx="52">
                  <c:v>244.1120584686671</c:v>
                </c:pt>
                <c:pt idx="53">
                  <c:v>396.5193173660947</c:v>
                </c:pt>
                <c:pt idx="54">
                  <c:v>550.7657581569692</c:v>
                </c:pt>
                <c:pt idx="55">
                  <c:v>706.5565732482753</c:v>
                </c:pt>
                <c:pt idx="56">
                  <c:v>863.5842802706919</c:v>
                </c:pt>
                <c:pt idx="57">
                  <c:v>1021.529670000519</c:v>
                </c:pt>
                <c:pt idx="58">
                  <c:v>1180.0628183592764</c:v>
                </c:pt>
                <c:pt idx="59">
                  <c:v>1338.8441582223406</c:v>
                </c:pt>
                <c:pt idx="60">
                  <c:v>1497.525606467354</c:v>
                </c:pt>
                <c:pt idx="61">
                  <c:v>1655.751741413962</c:v>
                </c:pt>
                <c:pt idx="62">
                  <c:v>1813.1610255501332</c:v>
                </c:pt>
                <c:pt idx="63">
                  <c:v>1969.3870682079378</c:v>
                </c:pt>
                <c:pt idx="64">
                  <c:v>2124.0599226447944</c:v>
                </c:pt>
                <c:pt idx="65">
                  <c:v>2276.807411805414</c:v>
                </c:pt>
                <c:pt idx="66">
                  <c:v>2427.2564768860925</c:v>
                </c:pt>
                <c:pt idx="67">
                  <c:v>2575.0345426973636</c:v>
                </c:pt>
                <c:pt idx="68">
                  <c:v>2719.7708937239954</c:v>
                </c:pt>
                <c:pt idx="69">
                  <c:v>2861.0980547132435</c:v>
                </c:pt>
                <c:pt idx="70">
                  <c:v>2998.653169583711</c:v>
                </c:pt>
                <c:pt idx="71">
                  <c:v>3132.0793724381033</c:v>
                </c:pt>
                <c:pt idx="72">
                  <c:v>3261.027144483865</c:v>
                </c:pt>
                <c:pt idx="73">
                  <c:v>3385.155650715952</c:v>
                </c:pt>
                <c:pt idx="74">
                  <c:v>3504.134050295679</c:v>
                </c:pt>
                <c:pt idx="75">
                  <c:v>3617.6427746681234</c:v>
                </c:pt>
                <c:pt idx="76">
                  <c:v>3725.374767597841</c:v>
                </c:pt>
                <c:pt idx="77">
                  <c:v>3827.0366814676267</c:v>
                </c:pt>
                <c:pt idx="78">
                  <c:v>3922.3500243771155</c:v>
                </c:pt>
                <c:pt idx="79">
                  <c:v>4011.0522527963576</c:v>
                </c:pt>
                <c:pt idx="80">
                  <c:v>4092.897804772844</c:v>
                </c:pt>
                <c:pt idx="81">
                  <c:v>4167.659068957877</c:v>
                </c:pt>
                <c:pt idx="82">
                  <c:v>4235.127285008265</c:v>
                </c:pt>
                <c:pt idx="83">
                  <c:v>4295.113371230677</c:v>
                </c:pt>
                <c:pt idx="84">
                  <c:v>4347.448675667227</c:v>
                </c:pt>
                <c:pt idx="85">
                  <c:v>4391.985647170342</c:v>
                </c:pt>
                <c:pt idx="86">
                  <c:v>4428.598423380947</c:v>
                </c:pt>
                <c:pt idx="87">
                  <c:v>4457.183332904833</c:v>
                </c:pt>
                <c:pt idx="88">
                  <c:v>4477.659309375947</c:v>
                </c:pt>
                <c:pt idx="89">
                  <c:v>4489.968215500175</c:v>
                </c:pt>
                <c:pt idx="90">
                  <c:v>4494.0750755873205</c:v>
                </c:pt>
                <c:pt idx="91">
                  <c:v>4489.968215500175</c:v>
                </c:pt>
                <c:pt idx="92">
                  <c:v>4477.659309375946</c:v>
                </c:pt>
                <c:pt idx="93">
                  <c:v>4457.183332904833</c:v>
                </c:pt>
                <c:pt idx="94">
                  <c:v>4428.598423380948</c:v>
                </c:pt>
                <c:pt idx="95">
                  <c:v>4391.985647170343</c:v>
                </c:pt>
                <c:pt idx="96">
                  <c:v>4347.448675667228</c:v>
                </c:pt>
                <c:pt idx="97">
                  <c:v>4295.113371230676</c:v>
                </c:pt>
                <c:pt idx="98">
                  <c:v>4235.127285008266</c:v>
                </c:pt>
                <c:pt idx="99">
                  <c:v>4167.659068957878</c:v>
                </c:pt>
                <c:pt idx="100">
                  <c:v>4092.8978047728433</c:v>
                </c:pt>
                <c:pt idx="101">
                  <c:v>4011.0522527963585</c:v>
                </c:pt>
                <c:pt idx="102">
                  <c:v>3922.3500243771164</c:v>
                </c:pt>
                <c:pt idx="103">
                  <c:v>3827.0366814676263</c:v>
                </c:pt>
                <c:pt idx="104">
                  <c:v>3725.3747675978434</c:v>
                </c:pt>
                <c:pt idx="105">
                  <c:v>3617.642774668128</c:v>
                </c:pt>
                <c:pt idx="106">
                  <c:v>3504.1340502956837</c:v>
                </c:pt>
                <c:pt idx="107">
                  <c:v>3385.1556507159567</c:v>
                </c:pt>
                <c:pt idx="108">
                  <c:v>3261.0271444838627</c:v>
                </c:pt>
                <c:pt idx="109">
                  <c:v>3132.079372438105</c:v>
                </c:pt>
                <c:pt idx="110">
                  <c:v>2998.653169583713</c:v>
                </c:pt>
                <c:pt idx="111">
                  <c:v>2861.098054713242</c:v>
                </c:pt>
                <c:pt idx="112">
                  <c:v>2719.7708937239972</c:v>
                </c:pt>
                <c:pt idx="113">
                  <c:v>2575.034542697369</c:v>
                </c:pt>
                <c:pt idx="114">
                  <c:v>2427.256476886099</c:v>
                </c:pt>
                <c:pt idx="115">
                  <c:v>2276.8074118054155</c:v>
                </c:pt>
                <c:pt idx="116">
                  <c:v>2124.0599226447966</c:v>
                </c:pt>
                <c:pt idx="117">
                  <c:v>1969.387068207944</c:v>
                </c:pt>
                <c:pt idx="118">
                  <c:v>1813.1610255501357</c:v>
                </c:pt>
                <c:pt idx="119">
                  <c:v>1655.7517414139643</c:v>
                </c:pt>
                <c:pt idx="120">
                  <c:v>1497.5256064673517</c:v>
                </c:pt>
                <c:pt idx="121">
                  <c:v>1338.844158222343</c:v>
                </c:pt>
                <c:pt idx="122">
                  <c:v>1180.0628183592787</c:v>
                </c:pt>
                <c:pt idx="123">
                  <c:v>1021.5296700005174</c:v>
                </c:pt>
                <c:pt idx="124">
                  <c:v>863.584280270694</c:v>
                </c:pt>
                <c:pt idx="125">
                  <c:v>706.5565732482817</c:v>
                </c:pt>
                <c:pt idx="126">
                  <c:v>550.7657581569716</c:v>
                </c:pt>
                <c:pt idx="127">
                  <c:v>396.51931736609663</c:v>
                </c:pt>
                <c:pt idx="128">
                  <c:v>244.11205846867313</c:v>
                </c:pt>
                <c:pt idx="129">
                  <c:v>93.82523438509065</c:v>
                </c:pt>
                <c:pt idx="130">
                  <c:v>-54.07426489864906</c:v>
                </c:pt>
                <c:pt idx="131">
                  <c:v>-199.33464570515412</c:v>
                </c:pt>
                <c:pt idx="132">
                  <c:v>-341.71986626989184</c:v>
                </c:pt>
                <c:pt idx="133">
                  <c:v>-481.01021207740234</c:v>
                </c:pt>
                <c:pt idx="134">
                  <c:v>-617.0027888264906</c:v>
                </c:pt>
                <c:pt idx="135">
                  <c:v>-749.5119313263059</c:v>
                </c:pt>
                <c:pt idx="136">
                  <c:v>-878.3695270373755</c:v>
                </c:pt>
                <c:pt idx="137">
                  <c:v>-1003.4252533891254</c:v>
                </c:pt>
                <c:pt idx="138">
                  <c:v>-1124.5467284264823</c:v>
                </c:pt>
                <c:pt idx="139">
                  <c:v>-1241.6195747603056</c:v>
                </c:pt>
                <c:pt idx="140">
                  <c:v>-1354.5473972179996</c:v>
                </c:pt>
                <c:pt idx="141">
                  <c:v>-1463.251675009256</c:v>
                </c:pt>
                <c:pt idx="142">
                  <c:v>-1567.671569635886</c:v>
                </c:pt>
                <c:pt idx="143">
                  <c:v>-1667.763650181695</c:v>
                </c:pt>
                <c:pt idx="144">
                  <c:v>-1763.5015380165114</c:v>
                </c:pt>
                <c:pt idx="145">
                  <c:v>-1854.8754733360572</c:v>
                </c:pt>
                <c:pt idx="146">
                  <c:v>-1941.8918063340946</c:v>
                </c:pt>
                <c:pt idx="147">
                  <c:v>-2024.5724161636592</c:v>
                </c:pt>
                <c:pt idx="148">
                  <c:v>-2102.9540611883517</c:v>
                </c:pt>
                <c:pt idx="149">
                  <c:v>-2177.087664350991</c:v>
                </c:pt>
                <c:pt idx="150">
                  <c:v>-2247.0375377936584</c:v>
                </c:pt>
                <c:pt idx="151">
                  <c:v>-2312.8805511491832</c:v>
                </c:pt>
                <c:pt idx="152">
                  <c:v>-2374.7052481875944</c:v>
                </c:pt>
                <c:pt idx="153">
                  <c:v>-2432.6109167411732</c:v>
                </c:pt>
                <c:pt idx="154">
                  <c:v>-2486.706617046849</c:v>
                </c:pt>
                <c:pt idx="155">
                  <c:v>-2537.1101738342823</c:v>
                </c:pt>
                <c:pt idx="156">
                  <c:v>-2583.947137650715</c:v>
                </c:pt>
                <c:pt idx="157">
                  <c:v>-2627.3497210489822</c:v>
                </c:pt>
                <c:pt idx="158">
                  <c:v>-2667.4557153723813</c:v>
                </c:pt>
                <c:pt idx="159">
                  <c:v>-2704.407393948623</c:v>
                </c:pt>
                <c:pt idx="160">
                  <c:v>-2738.3504075548417</c:v>
                </c:pt>
                <c:pt idx="161">
                  <c:v>-2769.4326780360498</c:v>
                </c:pt>
                <c:pt idx="162">
                  <c:v>-2797.8032959506304</c:v>
                </c:pt>
                <c:pt idx="163">
                  <c:v>-2823.611428078496</c:v>
                </c:pt>
                <c:pt idx="164">
                  <c:v>-2847.005240560464</c:v>
                </c:pt>
                <c:pt idx="165">
                  <c:v>-2868.1308433418185</c:v>
                </c:pt>
                <c:pt idx="166">
                  <c:v>-2887.1312614691924</c:v>
                </c:pt>
                <c:pt idx="167">
                  <c:v>-2904.14543863855</c:v>
                </c:pt>
                <c:pt idx="168">
                  <c:v>-2919.3072782139734</c:v>
                </c:pt>
                <c:pt idx="169">
                  <c:v>-2932.744726732953</c:v>
                </c:pt>
                <c:pt idx="170">
                  <c:v>-2944.578904685063</c:v>
                </c:pt>
                <c:pt idx="171">
                  <c:v>-2954.9232890983353</c:v>
                </c:pt>
                <c:pt idx="172">
                  <c:v>-2963.8829521926655</c:v>
                </c:pt>
                <c:pt idx="173">
                  <c:v>-2971.553860063461</c:v>
                </c:pt>
                <c:pt idx="174">
                  <c:v>-2978.0222350430654</c:v>
                </c:pt>
                <c:pt idx="175">
                  <c:v>-2983.3639850536924</c:v>
                </c:pt>
                <c:pt idx="176">
                  <c:v>-2987.6442029154855</c:v>
                </c:pt>
                <c:pt idx="177">
                  <c:v>-2990.916738208457</c:v>
                </c:pt>
                <c:pt idx="178">
                  <c:v>-2993.2238439094126</c:v>
                </c:pt>
                <c:pt idx="179">
                  <c:v>-2994.595899636306</c:v>
                </c:pt>
                <c:pt idx="180">
                  <c:v>-2995.0512129347067</c:v>
                </c:pt>
              </c:numCache>
            </c:numRef>
          </c:yVal>
        </c:ser>
        <c:ser>
          <c:idx val="1"/>
          <c:order val="1"/>
          <c:tx>
            <c:v>Fy3_loc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Feuil1!$R$32:$R$212</c:f>
              <c:numCache>
                <c:formatCode>0.000</c:formatCode>
                <c:ptCount val="181"/>
                <c:pt idx="0">
                  <c:v>-2995.0512129347067</c:v>
                </c:pt>
                <c:pt idx="1">
                  <c:v>-2994.595899636306</c:v>
                </c:pt>
                <c:pt idx="2">
                  <c:v>-2993.223843909413</c:v>
                </c:pt>
                <c:pt idx="3">
                  <c:v>-2990.9167382084565</c:v>
                </c:pt>
                <c:pt idx="4">
                  <c:v>-2987.644202915485</c:v>
                </c:pt>
                <c:pt idx="5">
                  <c:v>-2983.3639850536924</c:v>
                </c:pt>
                <c:pt idx="6">
                  <c:v>-2978.0222350430654</c:v>
                </c:pt>
                <c:pt idx="7">
                  <c:v>-2971.5538600634613</c:v>
                </c:pt>
                <c:pt idx="8">
                  <c:v>-2963.8829521926655</c:v>
                </c:pt>
                <c:pt idx="9">
                  <c:v>-2954.9232890983358</c:v>
                </c:pt>
                <c:pt idx="10">
                  <c:v>-2944.578904685063</c:v>
                </c:pt>
                <c:pt idx="11">
                  <c:v>-2932.7447267329535</c:v>
                </c:pt>
                <c:pt idx="12">
                  <c:v>-2919.307278213974</c:v>
                </c:pt>
                <c:pt idx="13">
                  <c:v>-2904.145438638551</c:v>
                </c:pt>
                <c:pt idx="14">
                  <c:v>-2887.1312614691924</c:v>
                </c:pt>
                <c:pt idx="15">
                  <c:v>-2868.130843341818</c:v>
                </c:pt>
                <c:pt idx="16">
                  <c:v>-2847.0052405604633</c:v>
                </c:pt>
                <c:pt idx="17">
                  <c:v>-2823.611428078497</c:v>
                </c:pt>
                <c:pt idx="18">
                  <c:v>-2797.803295950631</c:v>
                </c:pt>
                <c:pt idx="19">
                  <c:v>-2769.43267803605</c:v>
                </c:pt>
                <c:pt idx="20">
                  <c:v>-2738.350407554843</c:v>
                </c:pt>
                <c:pt idx="21">
                  <c:v>-2704.407393948624</c:v>
                </c:pt>
                <c:pt idx="22">
                  <c:v>-2667.4557153723817</c:v>
                </c:pt>
                <c:pt idx="23">
                  <c:v>-2627.349721048983</c:v>
                </c:pt>
                <c:pt idx="24">
                  <c:v>-2583.947137650715</c:v>
                </c:pt>
                <c:pt idx="25">
                  <c:v>-2537.1101738342836</c:v>
                </c:pt>
                <c:pt idx="26">
                  <c:v>-2486.7066170468493</c:v>
                </c:pt>
                <c:pt idx="27">
                  <c:v>-2432.610916741174</c:v>
                </c:pt>
                <c:pt idx="28">
                  <c:v>-2374.705248187595</c:v>
                </c:pt>
                <c:pt idx="29">
                  <c:v>-2312.8805511491823</c:v>
                </c:pt>
                <c:pt idx="30">
                  <c:v>-2247.0375377936616</c:v>
                </c:pt>
                <c:pt idx="31">
                  <c:v>-2177.087664350992</c:v>
                </c:pt>
                <c:pt idx="32">
                  <c:v>-2102.9540611883526</c:v>
                </c:pt>
                <c:pt idx="33">
                  <c:v>-2024.5724161636585</c:v>
                </c:pt>
                <c:pt idx="34">
                  <c:v>-1941.891806334098</c:v>
                </c:pt>
                <c:pt idx="35">
                  <c:v>-1854.875473336061</c:v>
                </c:pt>
                <c:pt idx="36">
                  <c:v>-1763.5015380165123</c:v>
                </c:pt>
                <c:pt idx="37">
                  <c:v>-1667.7636501816942</c:v>
                </c:pt>
                <c:pt idx="38">
                  <c:v>-1567.6715696358847</c:v>
                </c:pt>
                <c:pt idx="39">
                  <c:v>-1463.251675009255</c:v>
                </c:pt>
                <c:pt idx="40">
                  <c:v>-1354.5473972180012</c:v>
                </c:pt>
                <c:pt idx="41">
                  <c:v>-1241.6195747603072</c:v>
                </c:pt>
                <c:pt idx="42">
                  <c:v>-1124.5467284264842</c:v>
                </c:pt>
                <c:pt idx="43">
                  <c:v>-1003.4252533891303</c:v>
                </c:pt>
                <c:pt idx="44">
                  <c:v>-878.3695270373805</c:v>
                </c:pt>
                <c:pt idx="45">
                  <c:v>-749.5119313263077</c:v>
                </c:pt>
                <c:pt idx="46">
                  <c:v>-617.002788826489</c:v>
                </c:pt>
                <c:pt idx="47">
                  <c:v>-481.01021207740416</c:v>
                </c:pt>
                <c:pt idx="48">
                  <c:v>-341.71986626989366</c:v>
                </c:pt>
                <c:pt idx="49">
                  <c:v>-199.33464570515252</c:v>
                </c:pt>
                <c:pt idx="50">
                  <c:v>-54.074264898650995</c:v>
                </c:pt>
                <c:pt idx="51">
                  <c:v>93.82523438508849</c:v>
                </c:pt>
                <c:pt idx="52">
                  <c:v>244.1120584686671</c:v>
                </c:pt>
                <c:pt idx="53">
                  <c:v>396.5193173660947</c:v>
                </c:pt>
                <c:pt idx="54">
                  <c:v>550.7657581569692</c:v>
                </c:pt>
                <c:pt idx="55">
                  <c:v>706.5565732482753</c:v>
                </c:pt>
                <c:pt idx="56">
                  <c:v>863.5842802706919</c:v>
                </c:pt>
                <c:pt idx="57">
                  <c:v>1021.529670000519</c:v>
                </c:pt>
                <c:pt idx="58">
                  <c:v>1180.0628183592764</c:v>
                </c:pt>
                <c:pt idx="59">
                  <c:v>1338.8441582223406</c:v>
                </c:pt>
                <c:pt idx="60">
                  <c:v>1497.525606467354</c:v>
                </c:pt>
                <c:pt idx="61">
                  <c:v>1655.751741413962</c:v>
                </c:pt>
                <c:pt idx="62">
                  <c:v>1813.1610255501332</c:v>
                </c:pt>
                <c:pt idx="63">
                  <c:v>1969.3870682079378</c:v>
                </c:pt>
                <c:pt idx="64">
                  <c:v>2124.0599226447944</c:v>
                </c:pt>
                <c:pt idx="65">
                  <c:v>2276.807411805414</c:v>
                </c:pt>
                <c:pt idx="66">
                  <c:v>2427.2564768860925</c:v>
                </c:pt>
                <c:pt idx="67">
                  <c:v>2575.0345426973636</c:v>
                </c:pt>
                <c:pt idx="68">
                  <c:v>2719.7708937239954</c:v>
                </c:pt>
                <c:pt idx="69">
                  <c:v>2861.0980547132435</c:v>
                </c:pt>
                <c:pt idx="70">
                  <c:v>2998.653169583711</c:v>
                </c:pt>
                <c:pt idx="71">
                  <c:v>3132.0793724381033</c:v>
                </c:pt>
                <c:pt idx="72">
                  <c:v>3261.027144483865</c:v>
                </c:pt>
                <c:pt idx="73">
                  <c:v>3385.155650715952</c:v>
                </c:pt>
                <c:pt idx="74">
                  <c:v>3504.134050295679</c:v>
                </c:pt>
                <c:pt idx="75">
                  <c:v>3617.6427746681234</c:v>
                </c:pt>
                <c:pt idx="76">
                  <c:v>3725.374767597841</c:v>
                </c:pt>
                <c:pt idx="77">
                  <c:v>3827.0366814676267</c:v>
                </c:pt>
                <c:pt idx="78">
                  <c:v>3922.3500243771155</c:v>
                </c:pt>
                <c:pt idx="79">
                  <c:v>4011.0522527963576</c:v>
                </c:pt>
                <c:pt idx="80">
                  <c:v>4092.897804772844</c:v>
                </c:pt>
                <c:pt idx="81">
                  <c:v>4167.659068957877</c:v>
                </c:pt>
                <c:pt idx="82">
                  <c:v>4235.127285008265</c:v>
                </c:pt>
                <c:pt idx="83">
                  <c:v>4295.113371230677</c:v>
                </c:pt>
                <c:pt idx="84">
                  <c:v>4347.448675667227</c:v>
                </c:pt>
                <c:pt idx="85">
                  <c:v>4391.985647170342</c:v>
                </c:pt>
                <c:pt idx="86">
                  <c:v>4428.598423380947</c:v>
                </c:pt>
                <c:pt idx="87">
                  <c:v>4457.183332904833</c:v>
                </c:pt>
                <c:pt idx="88">
                  <c:v>4477.659309375947</c:v>
                </c:pt>
                <c:pt idx="89">
                  <c:v>4489.968215500175</c:v>
                </c:pt>
                <c:pt idx="90">
                  <c:v>4494.0750755873205</c:v>
                </c:pt>
                <c:pt idx="91">
                  <c:v>4489.968215500175</c:v>
                </c:pt>
                <c:pt idx="92">
                  <c:v>4477.659309375946</c:v>
                </c:pt>
                <c:pt idx="93">
                  <c:v>4457.183332904833</c:v>
                </c:pt>
                <c:pt idx="94">
                  <c:v>4428.598423380948</c:v>
                </c:pt>
                <c:pt idx="95">
                  <c:v>4391.985647170343</c:v>
                </c:pt>
                <c:pt idx="96">
                  <c:v>4347.448675667228</c:v>
                </c:pt>
                <c:pt idx="97">
                  <c:v>4295.113371230676</c:v>
                </c:pt>
                <c:pt idx="98">
                  <c:v>4235.127285008266</c:v>
                </c:pt>
                <c:pt idx="99">
                  <c:v>4167.659068957878</c:v>
                </c:pt>
                <c:pt idx="100">
                  <c:v>4092.8978047728433</c:v>
                </c:pt>
                <c:pt idx="101">
                  <c:v>4011.0522527963585</c:v>
                </c:pt>
                <c:pt idx="102">
                  <c:v>3922.3500243771164</c:v>
                </c:pt>
                <c:pt idx="103">
                  <c:v>3827.0366814676263</c:v>
                </c:pt>
                <c:pt idx="104">
                  <c:v>3725.3747675978434</c:v>
                </c:pt>
                <c:pt idx="105">
                  <c:v>3617.642774668128</c:v>
                </c:pt>
                <c:pt idx="106">
                  <c:v>3504.1340502956837</c:v>
                </c:pt>
                <c:pt idx="107">
                  <c:v>3385.1556507159567</c:v>
                </c:pt>
                <c:pt idx="108">
                  <c:v>3261.0271444838627</c:v>
                </c:pt>
                <c:pt idx="109">
                  <c:v>3132.079372438105</c:v>
                </c:pt>
                <c:pt idx="110">
                  <c:v>2998.653169583713</c:v>
                </c:pt>
                <c:pt idx="111">
                  <c:v>2861.098054713242</c:v>
                </c:pt>
                <c:pt idx="112">
                  <c:v>2719.7708937239972</c:v>
                </c:pt>
                <c:pt idx="113">
                  <c:v>2575.034542697369</c:v>
                </c:pt>
                <c:pt idx="114">
                  <c:v>2427.256476886099</c:v>
                </c:pt>
                <c:pt idx="115">
                  <c:v>2276.8074118054155</c:v>
                </c:pt>
                <c:pt idx="116">
                  <c:v>2124.0599226447966</c:v>
                </c:pt>
                <c:pt idx="117">
                  <c:v>1969.387068207944</c:v>
                </c:pt>
                <c:pt idx="118">
                  <c:v>1813.1610255501357</c:v>
                </c:pt>
                <c:pt idx="119">
                  <c:v>1655.7517414139643</c:v>
                </c:pt>
                <c:pt idx="120">
                  <c:v>1497.5256064673517</c:v>
                </c:pt>
                <c:pt idx="121">
                  <c:v>1338.844158222343</c:v>
                </c:pt>
                <c:pt idx="122">
                  <c:v>1180.0628183592787</c:v>
                </c:pt>
                <c:pt idx="123">
                  <c:v>1021.5296700005174</c:v>
                </c:pt>
                <c:pt idx="124">
                  <c:v>863.584280270694</c:v>
                </c:pt>
                <c:pt idx="125">
                  <c:v>706.5565732482817</c:v>
                </c:pt>
                <c:pt idx="126">
                  <c:v>550.7657581569716</c:v>
                </c:pt>
                <c:pt idx="127">
                  <c:v>396.51931736609663</c:v>
                </c:pt>
                <c:pt idx="128">
                  <c:v>244.11205846867313</c:v>
                </c:pt>
                <c:pt idx="129">
                  <c:v>93.82523438509065</c:v>
                </c:pt>
                <c:pt idx="130">
                  <c:v>-54.07426489864906</c:v>
                </c:pt>
                <c:pt idx="131">
                  <c:v>-199.33464570515412</c:v>
                </c:pt>
                <c:pt idx="132">
                  <c:v>-341.71986626989184</c:v>
                </c:pt>
                <c:pt idx="133">
                  <c:v>-481.01021207740234</c:v>
                </c:pt>
                <c:pt idx="134">
                  <c:v>-617.0027888264906</c:v>
                </c:pt>
                <c:pt idx="135">
                  <c:v>-749.5119313263059</c:v>
                </c:pt>
                <c:pt idx="136">
                  <c:v>-878.3695270373755</c:v>
                </c:pt>
                <c:pt idx="137">
                  <c:v>-1003.4252533891254</c:v>
                </c:pt>
                <c:pt idx="138">
                  <c:v>-1124.5467284264823</c:v>
                </c:pt>
                <c:pt idx="139">
                  <c:v>-1241.6195747603056</c:v>
                </c:pt>
                <c:pt idx="140">
                  <c:v>-1354.5473972179996</c:v>
                </c:pt>
                <c:pt idx="141">
                  <c:v>-1463.251675009256</c:v>
                </c:pt>
                <c:pt idx="142">
                  <c:v>-1567.671569635886</c:v>
                </c:pt>
                <c:pt idx="143">
                  <c:v>-1667.763650181695</c:v>
                </c:pt>
                <c:pt idx="144">
                  <c:v>-1763.5015380165114</c:v>
                </c:pt>
                <c:pt idx="145">
                  <c:v>-1854.8754733360572</c:v>
                </c:pt>
                <c:pt idx="146">
                  <c:v>-1941.8918063340946</c:v>
                </c:pt>
                <c:pt idx="147">
                  <c:v>-2024.5724161636592</c:v>
                </c:pt>
                <c:pt idx="148">
                  <c:v>-2102.9540611883517</c:v>
                </c:pt>
                <c:pt idx="149">
                  <c:v>-2177.087664350991</c:v>
                </c:pt>
                <c:pt idx="150">
                  <c:v>-2247.0375377936584</c:v>
                </c:pt>
                <c:pt idx="151">
                  <c:v>-2312.8805511491832</c:v>
                </c:pt>
                <c:pt idx="152">
                  <c:v>-2374.7052481875944</c:v>
                </c:pt>
                <c:pt idx="153">
                  <c:v>-2432.6109167411732</c:v>
                </c:pt>
                <c:pt idx="154">
                  <c:v>-2486.706617046849</c:v>
                </c:pt>
                <c:pt idx="155">
                  <c:v>-2537.1101738342823</c:v>
                </c:pt>
                <c:pt idx="156">
                  <c:v>-2583.947137650715</c:v>
                </c:pt>
                <c:pt idx="157">
                  <c:v>-2627.3497210489822</c:v>
                </c:pt>
                <c:pt idx="158">
                  <c:v>-2667.4557153723813</c:v>
                </c:pt>
                <c:pt idx="159">
                  <c:v>-2704.407393948623</c:v>
                </c:pt>
                <c:pt idx="160">
                  <c:v>-2738.3504075548417</c:v>
                </c:pt>
                <c:pt idx="161">
                  <c:v>-2769.4326780360498</c:v>
                </c:pt>
                <c:pt idx="162">
                  <c:v>-2797.8032959506304</c:v>
                </c:pt>
                <c:pt idx="163">
                  <c:v>-2823.611428078496</c:v>
                </c:pt>
                <c:pt idx="164">
                  <c:v>-2847.005240560464</c:v>
                </c:pt>
                <c:pt idx="165">
                  <c:v>-2868.1308433418185</c:v>
                </c:pt>
                <c:pt idx="166">
                  <c:v>-2887.1312614691924</c:v>
                </c:pt>
                <c:pt idx="167">
                  <c:v>-2904.14543863855</c:v>
                </c:pt>
                <c:pt idx="168">
                  <c:v>-2919.3072782139734</c:v>
                </c:pt>
                <c:pt idx="169">
                  <c:v>-2932.744726732953</c:v>
                </c:pt>
                <c:pt idx="170">
                  <c:v>-2944.578904685063</c:v>
                </c:pt>
                <c:pt idx="171">
                  <c:v>-2954.9232890983353</c:v>
                </c:pt>
                <c:pt idx="172">
                  <c:v>-2963.8829521926655</c:v>
                </c:pt>
                <c:pt idx="173">
                  <c:v>-2971.553860063461</c:v>
                </c:pt>
                <c:pt idx="174">
                  <c:v>-2978.0222350430654</c:v>
                </c:pt>
                <c:pt idx="175">
                  <c:v>-2983.3639850536924</c:v>
                </c:pt>
                <c:pt idx="176">
                  <c:v>-2987.6442029154855</c:v>
                </c:pt>
                <c:pt idx="177">
                  <c:v>-2990.916738208457</c:v>
                </c:pt>
                <c:pt idx="178">
                  <c:v>-2993.2238439094126</c:v>
                </c:pt>
                <c:pt idx="179">
                  <c:v>-2994.595899636306</c:v>
                </c:pt>
                <c:pt idx="180">
                  <c:v>-2995.0512129347067</c:v>
                </c:pt>
              </c:numCache>
            </c:numRef>
          </c:yVal>
        </c:ser>
        <c:ser>
          <c:idx val="2"/>
          <c:order val="2"/>
          <c:tx>
            <c:v>Fy4_loc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3"/>
              </a:solidFill>
              <a:ln xmlns:a="http://schemas.openxmlformats.org/drawingml/2006/main" cmpd="sng">
                <a:solidFill>
                  <a:schemeClr val="accent3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Feuil1!$S$32:$S$212</c:f>
              <c:numCache>
                <c:formatCode>0.000</c:formatCode>
                <c:ptCount val="181"/>
                <c:pt idx="0">
                  <c:v>4494.0750755873205</c:v>
                </c:pt>
                <c:pt idx="1">
                  <c:v>4489.968215500175</c:v>
                </c:pt>
                <c:pt idx="2">
                  <c:v>4477.659309375946</c:v>
                </c:pt>
                <c:pt idx="3">
                  <c:v>4457.183332904833</c:v>
                </c:pt>
                <c:pt idx="4">
                  <c:v>4428.598423380947</c:v>
                </c:pt>
                <c:pt idx="5">
                  <c:v>4391.985647170342</c:v>
                </c:pt>
                <c:pt idx="6">
                  <c:v>4347.448675667227</c:v>
                </c:pt>
                <c:pt idx="7">
                  <c:v>4295.113371230678</c:v>
                </c:pt>
                <c:pt idx="8">
                  <c:v>4235.127285008267</c:v>
                </c:pt>
                <c:pt idx="9">
                  <c:v>4167.659068957877</c:v>
                </c:pt>
                <c:pt idx="10">
                  <c:v>4092.897804772844</c:v>
                </c:pt>
                <c:pt idx="11">
                  <c:v>4011.0522527963585</c:v>
                </c:pt>
                <c:pt idx="12">
                  <c:v>3922.350024377115</c:v>
                </c:pt>
                <c:pt idx="13">
                  <c:v>3827.036681467626</c:v>
                </c:pt>
                <c:pt idx="14">
                  <c:v>3725.374767597842</c:v>
                </c:pt>
                <c:pt idx="15">
                  <c:v>3617.6427746681256</c:v>
                </c:pt>
                <c:pt idx="16">
                  <c:v>3504.1340502956823</c:v>
                </c:pt>
                <c:pt idx="17">
                  <c:v>3385.155650715954</c:v>
                </c:pt>
                <c:pt idx="18">
                  <c:v>3261.0271444838654</c:v>
                </c:pt>
                <c:pt idx="19">
                  <c:v>3132.0793724381065</c:v>
                </c:pt>
                <c:pt idx="20">
                  <c:v>2998.6531695837125</c:v>
                </c:pt>
                <c:pt idx="21">
                  <c:v>2861.0980547132435</c:v>
                </c:pt>
                <c:pt idx="22">
                  <c:v>2719.7708937239972</c:v>
                </c:pt>
                <c:pt idx="23">
                  <c:v>2575.0345426973677</c:v>
                </c:pt>
                <c:pt idx="24">
                  <c:v>2427.2564768860952</c:v>
                </c:pt>
                <c:pt idx="25">
                  <c:v>2276.8074118054146</c:v>
                </c:pt>
                <c:pt idx="26">
                  <c:v>2124.059922644793</c:v>
                </c:pt>
                <c:pt idx="27">
                  <c:v>1969.3870682079391</c:v>
                </c:pt>
                <c:pt idx="28">
                  <c:v>1813.1610255501364</c:v>
                </c:pt>
                <c:pt idx="29">
                  <c:v>1655.7517414139631</c:v>
                </c:pt>
                <c:pt idx="30">
                  <c:v>1497.525606467354</c:v>
                </c:pt>
                <c:pt idx="31">
                  <c:v>1338.844158222343</c:v>
                </c:pt>
                <c:pt idx="32">
                  <c:v>1180.0628183592767</c:v>
                </c:pt>
                <c:pt idx="33">
                  <c:v>1021.5296700005174</c:v>
                </c:pt>
                <c:pt idx="34">
                  <c:v>863.584280270692</c:v>
                </c:pt>
                <c:pt idx="35">
                  <c:v>706.5565732482785</c:v>
                </c:pt>
                <c:pt idx="36">
                  <c:v>550.7657581569704</c:v>
                </c:pt>
                <c:pt idx="37">
                  <c:v>396.51931736609356</c:v>
                </c:pt>
                <c:pt idx="38">
                  <c:v>244.11205846866915</c:v>
                </c:pt>
                <c:pt idx="39">
                  <c:v>93.82523438509236</c:v>
                </c:pt>
                <c:pt idx="40">
                  <c:v>-54.07426489864906</c:v>
                </c:pt>
                <c:pt idx="41">
                  <c:v>-199.3346457051514</c:v>
                </c:pt>
                <c:pt idx="42">
                  <c:v>-341.7198662698919</c:v>
                </c:pt>
                <c:pt idx="43">
                  <c:v>-481.01021207740325</c:v>
                </c:pt>
                <c:pt idx="44">
                  <c:v>-617.0027888264897</c:v>
                </c:pt>
                <c:pt idx="45">
                  <c:v>-749.5119313263068</c:v>
                </c:pt>
                <c:pt idx="46">
                  <c:v>-878.3695270373772</c:v>
                </c:pt>
                <c:pt idx="47">
                  <c:v>-1003.4252533891294</c:v>
                </c:pt>
                <c:pt idx="48">
                  <c:v>-1124.5467284264842</c:v>
                </c:pt>
                <c:pt idx="49">
                  <c:v>-1241.6195747603088</c:v>
                </c:pt>
                <c:pt idx="50">
                  <c:v>-1354.547397218001</c:v>
                </c:pt>
                <c:pt idx="51">
                  <c:v>-1463.2516750092527</c:v>
                </c:pt>
                <c:pt idx="52">
                  <c:v>-1567.6715696358847</c:v>
                </c:pt>
                <c:pt idx="53">
                  <c:v>-1667.7636501816946</c:v>
                </c:pt>
                <c:pt idx="54">
                  <c:v>-1763.5015380165119</c:v>
                </c:pt>
                <c:pt idx="55">
                  <c:v>-1854.8754733360593</c:v>
                </c:pt>
                <c:pt idx="56">
                  <c:v>-1941.8918063340975</c:v>
                </c:pt>
                <c:pt idx="57">
                  <c:v>-2024.5724161636585</c:v>
                </c:pt>
                <c:pt idx="58">
                  <c:v>-2102.954061188352</c:v>
                </c:pt>
                <c:pt idx="59">
                  <c:v>-2177.087664350991</c:v>
                </c:pt>
                <c:pt idx="60">
                  <c:v>-2247.03753779366</c:v>
                </c:pt>
                <c:pt idx="61">
                  <c:v>-2312.880551149182</c:v>
                </c:pt>
                <c:pt idx="62">
                  <c:v>-2374.705248187594</c:v>
                </c:pt>
                <c:pt idx="63">
                  <c:v>-2432.6109167411732</c:v>
                </c:pt>
                <c:pt idx="64">
                  <c:v>-2486.7066170468497</c:v>
                </c:pt>
                <c:pt idx="65">
                  <c:v>-2537.110173834284</c:v>
                </c:pt>
                <c:pt idx="66">
                  <c:v>-2583.947137650715</c:v>
                </c:pt>
                <c:pt idx="67">
                  <c:v>-2627.3497210489822</c:v>
                </c:pt>
                <c:pt idx="68">
                  <c:v>-2667.4557153723817</c:v>
                </c:pt>
                <c:pt idx="69">
                  <c:v>-2704.4073939486234</c:v>
                </c:pt>
                <c:pt idx="70">
                  <c:v>-2738.350407554843</c:v>
                </c:pt>
                <c:pt idx="71">
                  <c:v>-2769.4326780360498</c:v>
                </c:pt>
                <c:pt idx="72">
                  <c:v>-2797.8032959506304</c:v>
                </c:pt>
                <c:pt idx="73">
                  <c:v>-2823.611428078496</c:v>
                </c:pt>
                <c:pt idx="74">
                  <c:v>-2847.0052405604633</c:v>
                </c:pt>
                <c:pt idx="75">
                  <c:v>-2868.130843341818</c:v>
                </c:pt>
                <c:pt idx="76">
                  <c:v>-2887.131261469192</c:v>
                </c:pt>
                <c:pt idx="77">
                  <c:v>-2904.1454386385503</c:v>
                </c:pt>
                <c:pt idx="78">
                  <c:v>-2919.3072782139734</c:v>
                </c:pt>
                <c:pt idx="79">
                  <c:v>-2932.7447267329535</c:v>
                </c:pt>
                <c:pt idx="80">
                  <c:v>-2944.5789046850628</c:v>
                </c:pt>
                <c:pt idx="81">
                  <c:v>-2954.9232890983358</c:v>
                </c:pt>
                <c:pt idx="82">
                  <c:v>-2963.882952192665</c:v>
                </c:pt>
                <c:pt idx="83">
                  <c:v>-2971.5538600634613</c:v>
                </c:pt>
                <c:pt idx="84">
                  <c:v>-2978.0222350430654</c:v>
                </c:pt>
                <c:pt idx="85">
                  <c:v>-2983.3639850536924</c:v>
                </c:pt>
                <c:pt idx="86">
                  <c:v>-2987.6442029154855</c:v>
                </c:pt>
                <c:pt idx="87">
                  <c:v>-2990.9167382084565</c:v>
                </c:pt>
                <c:pt idx="88">
                  <c:v>-2993.2238439094126</c:v>
                </c:pt>
                <c:pt idx="89">
                  <c:v>-2994.595899636306</c:v>
                </c:pt>
                <c:pt idx="90">
                  <c:v>-2995.0512129347067</c:v>
                </c:pt>
                <c:pt idx="91">
                  <c:v>-2994.595899636306</c:v>
                </c:pt>
                <c:pt idx="92">
                  <c:v>-2993.223843909413</c:v>
                </c:pt>
                <c:pt idx="93">
                  <c:v>-2990.9167382084565</c:v>
                </c:pt>
                <c:pt idx="94">
                  <c:v>-2987.644202915485</c:v>
                </c:pt>
                <c:pt idx="95">
                  <c:v>-2983.3639850536924</c:v>
                </c:pt>
                <c:pt idx="96">
                  <c:v>-2978.0222350430654</c:v>
                </c:pt>
                <c:pt idx="97">
                  <c:v>-2971.5538600634613</c:v>
                </c:pt>
                <c:pt idx="98">
                  <c:v>-2963.8829521926655</c:v>
                </c:pt>
                <c:pt idx="99">
                  <c:v>-2954.9232890983358</c:v>
                </c:pt>
                <c:pt idx="100">
                  <c:v>-2944.578904685063</c:v>
                </c:pt>
                <c:pt idx="101">
                  <c:v>-2932.7447267329535</c:v>
                </c:pt>
                <c:pt idx="102">
                  <c:v>-2919.307278213974</c:v>
                </c:pt>
                <c:pt idx="103">
                  <c:v>-2904.145438638551</c:v>
                </c:pt>
                <c:pt idx="104">
                  <c:v>-2887.1312614691924</c:v>
                </c:pt>
                <c:pt idx="105">
                  <c:v>-2868.130843341818</c:v>
                </c:pt>
                <c:pt idx="106">
                  <c:v>-2847.0052405604633</c:v>
                </c:pt>
                <c:pt idx="107">
                  <c:v>-2823.611428078497</c:v>
                </c:pt>
                <c:pt idx="108">
                  <c:v>-2797.803295950631</c:v>
                </c:pt>
                <c:pt idx="109">
                  <c:v>-2769.43267803605</c:v>
                </c:pt>
                <c:pt idx="110">
                  <c:v>-2738.350407554843</c:v>
                </c:pt>
                <c:pt idx="111">
                  <c:v>-2704.407393948624</c:v>
                </c:pt>
                <c:pt idx="112">
                  <c:v>-2667.4557153723817</c:v>
                </c:pt>
                <c:pt idx="113">
                  <c:v>-2627.349721048983</c:v>
                </c:pt>
                <c:pt idx="114">
                  <c:v>-2583.947137650715</c:v>
                </c:pt>
                <c:pt idx="115">
                  <c:v>-2537.1101738342836</c:v>
                </c:pt>
                <c:pt idx="116">
                  <c:v>-2486.7066170468493</c:v>
                </c:pt>
                <c:pt idx="117">
                  <c:v>-2432.610916741174</c:v>
                </c:pt>
                <c:pt idx="118">
                  <c:v>-2374.705248187595</c:v>
                </c:pt>
                <c:pt idx="119">
                  <c:v>-2312.8805511491823</c:v>
                </c:pt>
                <c:pt idx="120">
                  <c:v>-2247.0375377936616</c:v>
                </c:pt>
                <c:pt idx="121">
                  <c:v>-2177.087664350992</c:v>
                </c:pt>
                <c:pt idx="122">
                  <c:v>-2102.9540611883526</c:v>
                </c:pt>
                <c:pt idx="123">
                  <c:v>-2024.5724161636585</c:v>
                </c:pt>
                <c:pt idx="124">
                  <c:v>-1941.891806334098</c:v>
                </c:pt>
                <c:pt idx="125">
                  <c:v>-1854.875473336061</c:v>
                </c:pt>
                <c:pt idx="126">
                  <c:v>-1763.5015380165123</c:v>
                </c:pt>
                <c:pt idx="127">
                  <c:v>-1667.7636501816942</c:v>
                </c:pt>
                <c:pt idx="128">
                  <c:v>-1567.6715696358847</c:v>
                </c:pt>
                <c:pt idx="129">
                  <c:v>-1463.251675009255</c:v>
                </c:pt>
                <c:pt idx="130">
                  <c:v>-1354.5473972180012</c:v>
                </c:pt>
                <c:pt idx="131">
                  <c:v>-1241.6195747603072</c:v>
                </c:pt>
                <c:pt idx="132">
                  <c:v>-1124.5467284264842</c:v>
                </c:pt>
                <c:pt idx="133">
                  <c:v>-1003.4252533891303</c:v>
                </c:pt>
                <c:pt idx="134">
                  <c:v>-878.3695270373805</c:v>
                </c:pt>
                <c:pt idx="135">
                  <c:v>-749.5119313263077</c:v>
                </c:pt>
                <c:pt idx="136">
                  <c:v>-617.002788826489</c:v>
                </c:pt>
                <c:pt idx="137">
                  <c:v>-481.01021207740416</c:v>
                </c:pt>
                <c:pt idx="138">
                  <c:v>-341.71986626989366</c:v>
                </c:pt>
                <c:pt idx="139">
                  <c:v>-199.33464570515252</c:v>
                </c:pt>
                <c:pt idx="140">
                  <c:v>-54.074264898650995</c:v>
                </c:pt>
                <c:pt idx="141">
                  <c:v>93.82523438508849</c:v>
                </c:pt>
                <c:pt idx="142">
                  <c:v>244.1120584686671</c:v>
                </c:pt>
                <c:pt idx="143">
                  <c:v>396.5193173660947</c:v>
                </c:pt>
                <c:pt idx="144">
                  <c:v>550.7657581569692</c:v>
                </c:pt>
                <c:pt idx="145">
                  <c:v>706.5565732482753</c:v>
                </c:pt>
                <c:pt idx="146">
                  <c:v>863.5842802706919</c:v>
                </c:pt>
                <c:pt idx="147">
                  <c:v>1021.529670000519</c:v>
                </c:pt>
                <c:pt idx="148">
                  <c:v>1180.0628183592764</c:v>
                </c:pt>
                <c:pt idx="149">
                  <c:v>1338.8441582223406</c:v>
                </c:pt>
                <c:pt idx="150">
                  <c:v>1497.525606467354</c:v>
                </c:pt>
                <c:pt idx="151">
                  <c:v>1655.751741413962</c:v>
                </c:pt>
                <c:pt idx="152">
                  <c:v>1813.1610255501332</c:v>
                </c:pt>
                <c:pt idx="153">
                  <c:v>1969.3870682079378</c:v>
                </c:pt>
                <c:pt idx="154">
                  <c:v>2124.0599226447944</c:v>
                </c:pt>
                <c:pt idx="155">
                  <c:v>2276.807411805414</c:v>
                </c:pt>
                <c:pt idx="156">
                  <c:v>2427.2564768860925</c:v>
                </c:pt>
                <c:pt idx="157">
                  <c:v>2575.0345426973636</c:v>
                </c:pt>
                <c:pt idx="158">
                  <c:v>2719.7708937239954</c:v>
                </c:pt>
                <c:pt idx="159">
                  <c:v>2861.0980547132435</c:v>
                </c:pt>
                <c:pt idx="160">
                  <c:v>2998.653169583711</c:v>
                </c:pt>
                <c:pt idx="161">
                  <c:v>3132.0793724381033</c:v>
                </c:pt>
                <c:pt idx="162">
                  <c:v>3261.027144483865</c:v>
                </c:pt>
                <c:pt idx="163">
                  <c:v>3385.155650715952</c:v>
                </c:pt>
                <c:pt idx="164">
                  <c:v>3504.134050295679</c:v>
                </c:pt>
                <c:pt idx="165">
                  <c:v>3617.6427746681234</c:v>
                </c:pt>
                <c:pt idx="166">
                  <c:v>3725.374767597841</c:v>
                </c:pt>
                <c:pt idx="167">
                  <c:v>3827.0366814676267</c:v>
                </c:pt>
                <c:pt idx="168">
                  <c:v>3922.3500243771155</c:v>
                </c:pt>
                <c:pt idx="169">
                  <c:v>4011.0522527963576</c:v>
                </c:pt>
                <c:pt idx="170">
                  <c:v>4092.897804772844</c:v>
                </c:pt>
                <c:pt idx="171">
                  <c:v>4167.659068957877</c:v>
                </c:pt>
                <c:pt idx="172">
                  <c:v>4235.127285008265</c:v>
                </c:pt>
                <c:pt idx="173">
                  <c:v>4295.113371230677</c:v>
                </c:pt>
                <c:pt idx="174">
                  <c:v>4347.448675667227</c:v>
                </c:pt>
                <c:pt idx="175">
                  <c:v>4391.985647170342</c:v>
                </c:pt>
                <c:pt idx="176">
                  <c:v>4428.598423380947</c:v>
                </c:pt>
                <c:pt idx="177">
                  <c:v>4457.183332904833</c:v>
                </c:pt>
                <c:pt idx="178">
                  <c:v>4477.659309375947</c:v>
                </c:pt>
                <c:pt idx="179">
                  <c:v>4489.968215500175</c:v>
                </c:pt>
                <c:pt idx="180">
                  <c:v>4494.0750755873205</c:v>
                </c:pt>
              </c:numCache>
            </c:numRef>
          </c:yVal>
        </c:ser>
        <c:ser>
          <c:idx val="3"/>
          <c:order val="3"/>
          <c:tx>
            <c:v>Fy1_loc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chemeClr val="accent4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Feuil1!$P$32:$P$212</c:f>
              <c:numCache>
                <c:formatCode>0.000</c:formatCode>
                <c:ptCount val="181"/>
                <c:pt idx="0">
                  <c:v>4494.0750755873205</c:v>
                </c:pt>
                <c:pt idx="1">
                  <c:v>4489.968215500175</c:v>
                </c:pt>
                <c:pt idx="2">
                  <c:v>4477.659309375946</c:v>
                </c:pt>
                <c:pt idx="3">
                  <c:v>4457.183332904833</c:v>
                </c:pt>
                <c:pt idx="4">
                  <c:v>4428.598423380947</c:v>
                </c:pt>
                <c:pt idx="5">
                  <c:v>4391.985647170342</c:v>
                </c:pt>
                <c:pt idx="6">
                  <c:v>4347.448675667227</c:v>
                </c:pt>
                <c:pt idx="7">
                  <c:v>4295.113371230678</c:v>
                </c:pt>
                <c:pt idx="8">
                  <c:v>4235.127285008267</c:v>
                </c:pt>
                <c:pt idx="9">
                  <c:v>4167.659068957877</c:v>
                </c:pt>
                <c:pt idx="10">
                  <c:v>4092.897804772844</c:v>
                </c:pt>
                <c:pt idx="11">
                  <c:v>4011.0522527963585</c:v>
                </c:pt>
                <c:pt idx="12">
                  <c:v>3922.350024377115</c:v>
                </c:pt>
                <c:pt idx="13">
                  <c:v>3827.036681467626</c:v>
                </c:pt>
                <c:pt idx="14">
                  <c:v>3725.374767597842</c:v>
                </c:pt>
                <c:pt idx="15">
                  <c:v>3617.6427746681256</c:v>
                </c:pt>
                <c:pt idx="16">
                  <c:v>3504.1340502956823</c:v>
                </c:pt>
                <c:pt idx="17">
                  <c:v>3385.155650715954</c:v>
                </c:pt>
                <c:pt idx="18">
                  <c:v>3261.0271444838654</c:v>
                </c:pt>
                <c:pt idx="19">
                  <c:v>3132.0793724381065</c:v>
                </c:pt>
                <c:pt idx="20">
                  <c:v>2998.6531695837125</c:v>
                </c:pt>
                <c:pt idx="21">
                  <c:v>2861.0980547132435</c:v>
                </c:pt>
                <c:pt idx="22">
                  <c:v>2719.7708937239972</c:v>
                </c:pt>
                <c:pt idx="23">
                  <c:v>2575.0345426973677</c:v>
                </c:pt>
                <c:pt idx="24">
                  <c:v>2427.2564768860952</c:v>
                </c:pt>
                <c:pt idx="25">
                  <c:v>2276.8074118054146</c:v>
                </c:pt>
                <c:pt idx="26">
                  <c:v>2124.059922644793</c:v>
                </c:pt>
                <c:pt idx="27">
                  <c:v>1969.3870682079391</c:v>
                </c:pt>
                <c:pt idx="28">
                  <c:v>1813.1610255501364</c:v>
                </c:pt>
                <c:pt idx="29">
                  <c:v>1655.7517414139631</c:v>
                </c:pt>
                <c:pt idx="30">
                  <c:v>1497.525606467354</c:v>
                </c:pt>
                <c:pt idx="31">
                  <c:v>1338.844158222343</c:v>
                </c:pt>
                <c:pt idx="32">
                  <c:v>1180.0628183592767</c:v>
                </c:pt>
                <c:pt idx="33">
                  <c:v>1021.5296700005174</c:v>
                </c:pt>
                <c:pt idx="34">
                  <c:v>863.584280270692</c:v>
                </c:pt>
                <c:pt idx="35">
                  <c:v>706.5565732482785</c:v>
                </c:pt>
                <c:pt idx="36">
                  <c:v>550.7657581569704</c:v>
                </c:pt>
                <c:pt idx="37">
                  <c:v>396.51931736609356</c:v>
                </c:pt>
                <c:pt idx="38">
                  <c:v>244.11205846866915</c:v>
                </c:pt>
                <c:pt idx="39">
                  <c:v>93.82523438509236</c:v>
                </c:pt>
                <c:pt idx="40">
                  <c:v>-54.07426489864906</c:v>
                </c:pt>
                <c:pt idx="41">
                  <c:v>-199.3346457051514</c:v>
                </c:pt>
                <c:pt idx="42">
                  <c:v>-341.7198662698919</c:v>
                </c:pt>
                <c:pt idx="43">
                  <c:v>-481.01021207740325</c:v>
                </c:pt>
                <c:pt idx="44">
                  <c:v>-617.0027888264897</c:v>
                </c:pt>
                <c:pt idx="45">
                  <c:v>-749.5119313263068</c:v>
                </c:pt>
                <c:pt idx="46">
                  <c:v>-878.3695270373772</c:v>
                </c:pt>
                <c:pt idx="47">
                  <c:v>-1003.4252533891294</c:v>
                </c:pt>
                <c:pt idx="48">
                  <c:v>-1124.5467284264842</c:v>
                </c:pt>
                <c:pt idx="49">
                  <c:v>-1241.6195747603088</c:v>
                </c:pt>
                <c:pt idx="50">
                  <c:v>-1354.547397218001</c:v>
                </c:pt>
                <c:pt idx="51">
                  <c:v>-1463.2516750092527</c:v>
                </c:pt>
                <c:pt idx="52">
                  <c:v>-1567.6715696358847</c:v>
                </c:pt>
                <c:pt idx="53">
                  <c:v>-1667.7636501816946</c:v>
                </c:pt>
                <c:pt idx="54">
                  <c:v>-1763.5015380165119</c:v>
                </c:pt>
                <c:pt idx="55">
                  <c:v>-1854.8754733360593</c:v>
                </c:pt>
                <c:pt idx="56">
                  <c:v>-1941.8918063340975</c:v>
                </c:pt>
                <c:pt idx="57">
                  <c:v>-2024.5724161636585</c:v>
                </c:pt>
                <c:pt idx="58">
                  <c:v>-2102.954061188352</c:v>
                </c:pt>
                <c:pt idx="59">
                  <c:v>-2177.087664350991</c:v>
                </c:pt>
                <c:pt idx="60">
                  <c:v>-2247.03753779366</c:v>
                </c:pt>
                <c:pt idx="61">
                  <c:v>-2312.880551149182</c:v>
                </c:pt>
                <c:pt idx="62">
                  <c:v>-2374.705248187594</c:v>
                </c:pt>
                <c:pt idx="63">
                  <c:v>-2432.6109167411732</c:v>
                </c:pt>
                <c:pt idx="64">
                  <c:v>-2486.7066170468497</c:v>
                </c:pt>
                <c:pt idx="65">
                  <c:v>-2537.110173834284</c:v>
                </c:pt>
                <c:pt idx="66">
                  <c:v>-2583.947137650715</c:v>
                </c:pt>
                <c:pt idx="67">
                  <c:v>-2627.3497210489822</c:v>
                </c:pt>
                <c:pt idx="68">
                  <c:v>-2667.4557153723817</c:v>
                </c:pt>
                <c:pt idx="69">
                  <c:v>-2704.4073939486234</c:v>
                </c:pt>
                <c:pt idx="70">
                  <c:v>-2738.350407554843</c:v>
                </c:pt>
                <c:pt idx="71">
                  <c:v>-2769.4326780360498</c:v>
                </c:pt>
                <c:pt idx="72">
                  <c:v>-2797.8032959506304</c:v>
                </c:pt>
                <c:pt idx="73">
                  <c:v>-2823.611428078496</c:v>
                </c:pt>
                <c:pt idx="74">
                  <c:v>-2847.0052405604633</c:v>
                </c:pt>
                <c:pt idx="75">
                  <c:v>-2868.130843341818</c:v>
                </c:pt>
                <c:pt idx="76">
                  <c:v>-2887.131261469192</c:v>
                </c:pt>
                <c:pt idx="77">
                  <c:v>-2904.1454386385503</c:v>
                </c:pt>
                <c:pt idx="78">
                  <c:v>-2919.3072782139734</c:v>
                </c:pt>
                <c:pt idx="79">
                  <c:v>-2932.7447267329535</c:v>
                </c:pt>
                <c:pt idx="80">
                  <c:v>-2944.5789046850628</c:v>
                </c:pt>
                <c:pt idx="81">
                  <c:v>-2954.9232890983358</c:v>
                </c:pt>
                <c:pt idx="82">
                  <c:v>-2963.882952192665</c:v>
                </c:pt>
                <c:pt idx="83">
                  <c:v>-2971.5538600634613</c:v>
                </c:pt>
                <c:pt idx="84">
                  <c:v>-2978.0222350430654</c:v>
                </c:pt>
                <c:pt idx="85">
                  <c:v>-2983.3639850536924</c:v>
                </c:pt>
                <c:pt idx="86">
                  <c:v>-2987.6442029154855</c:v>
                </c:pt>
                <c:pt idx="87">
                  <c:v>-2990.9167382084565</c:v>
                </c:pt>
                <c:pt idx="88">
                  <c:v>-2993.2238439094126</c:v>
                </c:pt>
                <c:pt idx="89">
                  <c:v>-2994.595899636306</c:v>
                </c:pt>
                <c:pt idx="90">
                  <c:v>-2995.0512129347067</c:v>
                </c:pt>
                <c:pt idx="91">
                  <c:v>-2994.595899636306</c:v>
                </c:pt>
                <c:pt idx="92">
                  <c:v>-2993.223843909413</c:v>
                </c:pt>
                <c:pt idx="93">
                  <c:v>-2990.9167382084565</c:v>
                </c:pt>
                <c:pt idx="94">
                  <c:v>-2987.644202915485</c:v>
                </c:pt>
                <c:pt idx="95">
                  <c:v>-2983.3639850536924</c:v>
                </c:pt>
                <c:pt idx="96">
                  <c:v>-2978.0222350430654</c:v>
                </c:pt>
                <c:pt idx="97">
                  <c:v>-2971.5538600634613</c:v>
                </c:pt>
                <c:pt idx="98">
                  <c:v>-2963.8829521926655</c:v>
                </c:pt>
                <c:pt idx="99">
                  <c:v>-2954.9232890983358</c:v>
                </c:pt>
                <c:pt idx="100">
                  <c:v>-2944.578904685063</c:v>
                </c:pt>
                <c:pt idx="101">
                  <c:v>-2932.7447267329535</c:v>
                </c:pt>
                <c:pt idx="102">
                  <c:v>-2919.307278213974</c:v>
                </c:pt>
                <c:pt idx="103">
                  <c:v>-2904.145438638551</c:v>
                </c:pt>
                <c:pt idx="104">
                  <c:v>-2887.1312614691924</c:v>
                </c:pt>
                <c:pt idx="105">
                  <c:v>-2868.130843341818</c:v>
                </c:pt>
                <c:pt idx="106">
                  <c:v>-2847.0052405604633</c:v>
                </c:pt>
                <c:pt idx="107">
                  <c:v>-2823.611428078497</c:v>
                </c:pt>
                <c:pt idx="108">
                  <c:v>-2797.803295950631</c:v>
                </c:pt>
                <c:pt idx="109">
                  <c:v>-2769.43267803605</c:v>
                </c:pt>
                <c:pt idx="110">
                  <c:v>-2738.350407554843</c:v>
                </c:pt>
                <c:pt idx="111">
                  <c:v>-2704.407393948624</c:v>
                </c:pt>
                <c:pt idx="112">
                  <c:v>-2667.4557153723817</c:v>
                </c:pt>
                <c:pt idx="113">
                  <c:v>-2627.349721048983</c:v>
                </c:pt>
                <c:pt idx="114">
                  <c:v>-2583.947137650715</c:v>
                </c:pt>
                <c:pt idx="115">
                  <c:v>-2537.1101738342836</c:v>
                </c:pt>
                <c:pt idx="116">
                  <c:v>-2486.7066170468493</c:v>
                </c:pt>
                <c:pt idx="117">
                  <c:v>-2432.610916741174</c:v>
                </c:pt>
                <c:pt idx="118">
                  <c:v>-2374.705248187595</c:v>
                </c:pt>
                <c:pt idx="119">
                  <c:v>-2312.8805511491823</c:v>
                </c:pt>
                <c:pt idx="120">
                  <c:v>-2247.0375377936616</c:v>
                </c:pt>
                <c:pt idx="121">
                  <c:v>-2177.087664350992</c:v>
                </c:pt>
                <c:pt idx="122">
                  <c:v>-2102.9540611883526</c:v>
                </c:pt>
                <c:pt idx="123">
                  <c:v>-2024.5724161636585</c:v>
                </c:pt>
                <c:pt idx="124">
                  <c:v>-1941.891806334098</c:v>
                </c:pt>
                <c:pt idx="125">
                  <c:v>-1854.875473336061</c:v>
                </c:pt>
                <c:pt idx="126">
                  <c:v>-1763.5015380165123</c:v>
                </c:pt>
                <c:pt idx="127">
                  <c:v>-1667.7636501816942</c:v>
                </c:pt>
                <c:pt idx="128">
                  <c:v>-1567.6715696358847</c:v>
                </c:pt>
                <c:pt idx="129">
                  <c:v>-1463.251675009255</c:v>
                </c:pt>
                <c:pt idx="130">
                  <c:v>-1354.5473972180012</c:v>
                </c:pt>
                <c:pt idx="131">
                  <c:v>-1241.6195747603072</c:v>
                </c:pt>
                <c:pt idx="132">
                  <c:v>-1124.5467284264842</c:v>
                </c:pt>
                <c:pt idx="133">
                  <c:v>-1003.4252533891303</c:v>
                </c:pt>
                <c:pt idx="134">
                  <c:v>-878.3695270373805</c:v>
                </c:pt>
                <c:pt idx="135">
                  <c:v>-749.5119313263077</c:v>
                </c:pt>
                <c:pt idx="136">
                  <c:v>-617.002788826489</c:v>
                </c:pt>
                <c:pt idx="137">
                  <c:v>-481.01021207740416</c:v>
                </c:pt>
                <c:pt idx="138">
                  <c:v>-341.71986626989366</c:v>
                </c:pt>
                <c:pt idx="139">
                  <c:v>-199.33464570515252</c:v>
                </c:pt>
                <c:pt idx="140">
                  <c:v>-54.074264898650995</c:v>
                </c:pt>
                <c:pt idx="141">
                  <c:v>93.82523438508849</c:v>
                </c:pt>
                <c:pt idx="142">
                  <c:v>244.1120584686671</c:v>
                </c:pt>
                <c:pt idx="143">
                  <c:v>396.5193173660947</c:v>
                </c:pt>
                <c:pt idx="144">
                  <c:v>550.7657581569692</c:v>
                </c:pt>
                <c:pt idx="145">
                  <c:v>706.5565732482753</c:v>
                </c:pt>
                <c:pt idx="146">
                  <c:v>863.5842802706919</c:v>
                </c:pt>
                <c:pt idx="147">
                  <c:v>1021.529670000519</c:v>
                </c:pt>
                <c:pt idx="148">
                  <c:v>1180.0628183592764</c:v>
                </c:pt>
                <c:pt idx="149">
                  <c:v>1338.8441582223406</c:v>
                </c:pt>
                <c:pt idx="150">
                  <c:v>1497.525606467354</c:v>
                </c:pt>
                <c:pt idx="151">
                  <c:v>1655.751741413962</c:v>
                </c:pt>
                <c:pt idx="152">
                  <c:v>1813.1610255501332</c:v>
                </c:pt>
                <c:pt idx="153">
                  <c:v>1969.3870682079378</c:v>
                </c:pt>
                <c:pt idx="154">
                  <c:v>2124.0599226447944</c:v>
                </c:pt>
                <c:pt idx="155">
                  <c:v>2276.807411805414</c:v>
                </c:pt>
                <c:pt idx="156">
                  <c:v>2427.2564768860925</c:v>
                </c:pt>
                <c:pt idx="157">
                  <c:v>2575.0345426973636</c:v>
                </c:pt>
                <c:pt idx="158">
                  <c:v>2719.7708937239954</c:v>
                </c:pt>
                <c:pt idx="159">
                  <c:v>2861.0980547132435</c:v>
                </c:pt>
                <c:pt idx="160">
                  <c:v>2998.653169583711</c:v>
                </c:pt>
                <c:pt idx="161">
                  <c:v>3132.0793724381033</c:v>
                </c:pt>
                <c:pt idx="162">
                  <c:v>3261.027144483865</c:v>
                </c:pt>
                <c:pt idx="163">
                  <c:v>3385.155650715952</c:v>
                </c:pt>
                <c:pt idx="164">
                  <c:v>3504.134050295679</c:v>
                </c:pt>
                <c:pt idx="165">
                  <c:v>3617.6427746681234</c:v>
                </c:pt>
                <c:pt idx="166">
                  <c:v>3725.374767597841</c:v>
                </c:pt>
                <c:pt idx="167">
                  <c:v>3827.0366814676267</c:v>
                </c:pt>
                <c:pt idx="168">
                  <c:v>3922.3500243771155</c:v>
                </c:pt>
                <c:pt idx="169">
                  <c:v>4011.0522527963576</c:v>
                </c:pt>
                <c:pt idx="170">
                  <c:v>4092.897804772844</c:v>
                </c:pt>
                <c:pt idx="171">
                  <c:v>4167.659068957877</c:v>
                </c:pt>
                <c:pt idx="172">
                  <c:v>4235.127285008265</c:v>
                </c:pt>
                <c:pt idx="173">
                  <c:v>4295.113371230677</c:v>
                </c:pt>
                <c:pt idx="174">
                  <c:v>4347.448675667227</c:v>
                </c:pt>
                <c:pt idx="175">
                  <c:v>4391.985647170342</c:v>
                </c:pt>
                <c:pt idx="176">
                  <c:v>4428.598423380947</c:v>
                </c:pt>
                <c:pt idx="177">
                  <c:v>4457.183332904833</c:v>
                </c:pt>
                <c:pt idx="178">
                  <c:v>4477.659309375947</c:v>
                </c:pt>
                <c:pt idx="179">
                  <c:v>4489.968215500175</c:v>
                </c:pt>
                <c:pt idx="180">
                  <c:v>4494.0750755873205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972711"/>
        <c:axId val="9954311"/>
      </c:scatterChart>
      <c:valAx>
        <c:axId val="9954311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Force en 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8972711"/>
        <c:crosses val="autoZero"/>
        <c:crossBetween val="midCat"/>
      </c:valAx>
      <c:valAx>
        <c:axId val="428972711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9954311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5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Force Y repère global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Fy2_Glob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Feuil1!$AA$32:$AA$212</c:f>
              <c:numCache>
                <c:formatCode>0.000</c:formatCode>
                <c:ptCount val="181"/>
                <c:pt idx="0">
                  <c:v>-1146.1564782750788</c:v>
                </c:pt>
                <c:pt idx="1">
                  <c:v>-1190.0757216671034</c:v>
                </c:pt>
                <c:pt idx="2">
                  <c:v>-1233.590421801522</c:v>
                </c:pt>
                <c:pt idx="3">
                  <c:v>-1276.6399170163904</c:v>
                </c:pt>
                <c:pt idx="4">
                  <c:v>-1319.1590566897428</c:v>
                </c:pt>
                <c:pt idx="5">
                  <c:v>-1361.0783424957458</c:v>
                </c:pt>
                <c:pt idx="6">
                  <c:v>-1402.3240992874428</c:v>
                </c:pt>
                <c:pt idx="7">
                  <c:v>-1442.8186749778952</c:v>
                </c:pt>
                <c:pt idx="8">
                  <c:v>-1482.4806686397</c:v>
                </c:pt>
                <c:pt idx="9">
                  <c:v>-1521.2251858946215</c:v>
                </c:pt>
                <c:pt idx="10">
                  <c:v>-1558.9641205211183</c:v>
                </c:pt>
                <c:pt idx="11">
                  <c:v>-1595.6064610686171</c:v>
                </c:pt>
                <c:pt idx="12">
                  <c:v>-1631.0586211341306</c:v>
                </c:pt>
                <c:pt idx="13">
                  <c:v>-1665.224791829985</c:v>
                </c:pt>
                <c:pt idx="14">
                  <c:v>-1698.0073148515232</c:v>
                </c:pt>
                <c:pt idx="15">
                  <c:v>-1729.3070744414106</c:v>
                </c:pt>
                <c:pt idx="16">
                  <c:v>-1759.023906443045</c:v>
                </c:pt>
                <c:pt idx="17">
                  <c:v>-1787.0570225401543</c:v>
                </c:pt>
                <c:pt idx="18">
                  <c:v>-1813.305447693394</c:v>
                </c:pt>
                <c:pt idx="19">
                  <c:v>-1837.6684687081026</c:v>
                </c:pt>
                <c:pt idx="20">
                  <c:v>-1860.0460918006763</c:v>
                </c:pt>
                <c:pt idx="21">
                  <c:v>-1880.3395069746634</c:v>
                </c:pt>
                <c:pt idx="22">
                  <c:v>-1898.4515569719551</c:v>
                </c:pt>
                <c:pt idx="23">
                  <c:v>-1914.2872085295412</c:v>
                </c:pt>
                <c:pt idx="24">
                  <c:v>-1927.7540236484533</c:v>
                </c:pt>
                <c:pt idx="25">
                  <c:v>-1938.7626285688366</c:v>
                </c:pt>
                <c:pt idx="26">
                  <c:v>-1947.2271781436616</c:v>
                </c:pt>
                <c:pt idx="27">
                  <c:v>-1953.0658133134134</c:v>
                </c:pt>
                <c:pt idx="28">
                  <c:v>-1956.2011094051759</c:v>
                </c:pt>
                <c:pt idx="29">
                  <c:v>-1956.5605130117456</c:v>
                </c:pt>
                <c:pt idx="30">
                  <c:v>-1954.0767652496397</c:v>
                </c:pt>
                <c:pt idx="31">
                  <c:v>-1948.6883092489084</c:v>
                </c:pt>
                <c:pt idx="32">
                  <c:v>-1940.3396797922592</c:v>
                </c:pt>
                <c:pt idx="33">
                  <c:v>-1928.981873095885</c:v>
                </c:pt>
                <c:pt idx="34">
                  <c:v>-1914.572694809151</c:v>
                </c:pt>
                <c:pt idx="35">
                  <c:v>-1897.0770844046137</c:v>
                </c:pt>
                <c:pt idx="36">
                  <c:v>-1876.4674142332092</c:v>
                </c:pt>
                <c:pt idx="37">
                  <c:v>-1852.723761631396</c:v>
                </c:pt>
                <c:pt idx="38">
                  <c:v>-1825.8341525870396</c:v>
                </c:pt>
                <c:pt idx="39">
                  <c:v>-1795.7947755983141</c:v>
                </c:pt>
                <c:pt idx="40">
                  <c:v>-1762.6101644942316</c:v>
                </c:pt>
                <c:pt idx="41">
                  <c:v>-1726.2933491260155</c:v>
                </c:pt>
                <c:pt idx="42">
                  <c:v>-1686.865972984644</c:v>
                </c:pt>
                <c:pt idx="43">
                  <c:v>-1644.35837695091</c:v>
                </c:pt>
                <c:pt idx="44">
                  <c:v>-1598.8096485394751</c:v>
                </c:pt>
                <c:pt idx="45">
                  <c:v>-1550.2676361569065</c:v>
                </c:pt>
                <c:pt idx="46">
                  <c:v>-1498.7889280548636</c:v>
                </c:pt>
                <c:pt idx="47">
                  <c:v>-1444.4387958225886</c:v>
                </c:pt>
                <c:pt idx="48">
                  <c:v>-1387.2911024269667</c:v>
                </c:pt>
                <c:pt idx="49">
                  <c:v>-1327.4281749727847</c:v>
                </c:pt>
                <c:pt idx="50">
                  <c:v>-1264.940642519683</c:v>
                </c:pt>
                <c:pt idx="51">
                  <c:v>-1199.9272394548611</c:v>
                </c:pt>
                <c:pt idx="52">
                  <c:v>-1132.4945750811146</c:v>
                </c:pt>
                <c:pt idx="53">
                  <c:v>-1062.7568702374142</c:v>
                </c:pt>
                <c:pt idx="54">
                  <c:v>-990.8356619232654</c:v>
                </c:pt>
                <c:pt idx="55">
                  <c:v>-916.8594770477837</c:v>
                </c:pt>
                <c:pt idx="56">
                  <c:v>-840.9634765690503</c:v>
                </c:pt>
                <c:pt idx="57">
                  <c:v>-763.2890714281166</c:v>
                </c:pt>
                <c:pt idx="58">
                  <c:v>-683.9835118144458</c:v>
                </c:pt>
                <c:pt idx="59">
                  <c:v>-603.1994514248993</c:v>
                </c:pt>
                <c:pt idx="60">
                  <c:v>-521.0944884960217</c:v>
                </c:pt>
                <c:pt idx="61">
                  <c:v>-437.83068549874645</c:v>
                </c:pt>
                <c:pt idx="62">
                  <c:v>-353.57406948522396</c:v>
                </c:pt>
                <c:pt idx="63">
                  <c:v>-268.49411516887835</c:v>
                </c:pt>
                <c:pt idx="64">
                  <c:v>-182.7632129003547</c:v>
                </c:pt>
                <c:pt idx="65">
                  <c:v>-96.55612377357102</c:v>
                </c:pt>
                <c:pt idx="66">
                  <c:v>-10.049424157163912</c:v>
                </c:pt>
                <c:pt idx="67">
                  <c:v>76.57905800304047</c:v>
                </c:pt>
                <c:pt idx="68">
                  <c:v>163.1508127255904</c:v>
                </c:pt>
                <c:pt idx="69">
                  <c:v>249.48722096586948</c:v>
                </c:pt>
                <c:pt idx="70">
                  <c:v>335.41012858950353</c:v>
                </c:pt>
                <c:pt idx="71">
                  <c:v>420.7424189112845</c:v>
                </c:pt>
                <c:pt idx="72">
                  <c:v>505.30858137016776</c:v>
                </c:pt>
                <c:pt idx="73">
                  <c:v>588.9352739282767</c:v>
                </c:pt>
                <c:pt idx="74">
                  <c:v>671.4518768105647</c:v>
                </c:pt>
                <c:pt idx="75">
                  <c:v>752.6910352415803</c:v>
                </c:pt>
                <c:pt idx="76">
                  <c:v>832.4891888866997</c:v>
                </c:pt>
                <c:pt idx="77">
                  <c:v>910.6870857667693</c:v>
                </c:pt>
                <c:pt idx="78">
                  <c:v>987.1302784871091</c:v>
                </c:pt>
                <c:pt idx="79">
                  <c:v>1061.6696007040027</c:v>
                </c:pt>
                <c:pt idx="80">
                  <c:v>1134.161621843612</c:v>
                </c:pt>
                <c:pt idx="81">
                  <c:v>1204.4690781893655</c:v>
                </c:pt>
                <c:pt idx="82">
                  <c:v>1272.4612785637707</c:v>
                </c:pt>
                <c:pt idx="83">
                  <c:v>1338.0144829486694</c:v>
                </c:pt>
                <c:pt idx="84">
                  <c:v>1401.0122525137913</c:v>
                </c:pt>
                <c:pt idx="85">
                  <c:v>1461.3457696563496</c:v>
                </c:pt>
                <c:pt idx="86">
                  <c:v>1518.9141267936634</c:v>
                </c:pt>
                <c:pt idx="87">
                  <c:v>1573.6245827959126</c:v>
                </c:pt>
                <c:pt idx="88">
                  <c:v>1625.3927860962451</c:v>
                </c:pt>
                <c:pt idx="89">
                  <c:v>1674.1429636699065</c:v>
                </c:pt>
                <c:pt idx="90">
                  <c:v>1719.8080752321562</c:v>
                </c:pt>
                <c:pt idx="91">
                  <c:v>1762.3299321656214</c:v>
                </c:pt>
                <c:pt idx="92">
                  <c:v>1801.6592808507248</c:v>
                </c:pt>
                <c:pt idx="93">
                  <c:v>1837.7558502370716</c:v>
                </c:pt>
                <c:pt idx="94">
                  <c:v>1870.5883636584274</c:v>
                </c:pt>
                <c:pt idx="95">
                  <c:v>1900.134515058363</c:v>
                </c:pt>
                <c:pt idx="96">
                  <c:v>1926.3809099570044</c:v>
                </c:pt>
                <c:pt idx="97">
                  <c:v>1949.3229716508267</c:v>
                </c:pt>
                <c:pt idx="98">
                  <c:v>1968.9648132962432</c:v>
                </c:pt>
                <c:pt idx="99">
                  <c:v>1985.3190766832245</c:v>
                </c:pt>
                <c:pt idx="100">
                  <c:v>1998.406738656415</c:v>
                </c:pt>
                <c:pt idx="101">
                  <c:v>2008.2568862876692</c:v>
                </c:pt>
                <c:pt idx="102">
                  <c:v>2014.9064620447475</c:v>
                </c:pt>
                <c:pt idx="103">
                  <c:v>2018.3999803354995</c:v>
                </c:pt>
                <c:pt idx="104">
                  <c:v>2018.789216934582</c:v>
                </c:pt>
                <c:pt idx="105">
                  <c:v>2016.1328729199495</c:v>
                </c:pt>
                <c:pt idx="106">
                  <c:v>2010.4962148585053</c:v>
                </c:pt>
                <c:pt idx="107">
                  <c:v>2001.950693083843</c:v>
                </c:pt>
                <c:pt idx="108">
                  <c:v>1990.573540003458</c:v>
                </c:pt>
                <c:pt idx="109">
                  <c:v>1976.4473504577354</c:v>
                </c:pt>
                <c:pt idx="110">
                  <c:v>1959.6596462279972</c:v>
                </c:pt>
                <c:pt idx="111">
                  <c:v>1940.3024268556217</c:v>
                </c:pt>
                <c:pt idx="112">
                  <c:v>1918.471708988343</c:v>
                </c:pt>
                <c:pt idx="113">
                  <c:v>1894.2670565131539</c:v>
                </c:pt>
                <c:pt idx="114">
                  <c:v>1867.7911037674958</c:v>
                </c:pt>
                <c:pt idx="115">
                  <c:v>1839.149074141516</c:v>
                </c:pt>
                <c:pt idx="116">
                  <c:v>1808.4482963940295</c:v>
                </c:pt>
                <c:pt idx="117">
                  <c:v>1775.7977210033496</c:v>
                </c:pt>
                <c:pt idx="118">
                  <c:v>1741.3074388614873</c:v>
                </c:pt>
                <c:pt idx="119">
                  <c:v>1705.0882045962862</c:v>
                </c:pt>
                <c:pt idx="120">
                  <c:v>1667.2509667711006</c:v>
                </c:pt>
                <c:pt idx="121">
                  <c:v>1627.9064071658495</c:v>
                </c:pt>
                <c:pt idx="122">
                  <c:v>1587.1644912867455</c:v>
                </c:pt>
                <c:pt idx="123">
                  <c:v>1545.1340321852683</c:v>
                </c:pt>
                <c:pt idx="124">
                  <c:v>1501.922269590099</c:v>
                </c:pt>
                <c:pt idx="125">
                  <c:v>1457.6344662693175</c:v>
                </c:pt>
                <c:pt idx="126">
                  <c:v>1412.373523444606</c:v>
                </c:pt>
                <c:pt idx="127">
                  <c:v>1366.2396169748538</c:v>
                </c:pt>
                <c:pt idx="128">
                  <c:v>1319.3298559141106</c:v>
                </c:pt>
                <c:pt idx="129">
                  <c:v>1271.7379649287511</c:v>
                </c:pt>
                <c:pt idx="130">
                  <c:v>1223.553991931614</c:v>
                </c:pt>
                <c:pt idx="131">
                  <c:v>1174.8640421573305</c:v>
                </c:pt>
                <c:pt idx="132">
                  <c:v>1125.7500397639628</c:v>
                </c:pt>
                <c:pt idx="133">
                  <c:v>1076.2895179017075</c:v>
                </c:pt>
                <c:pt idx="134">
                  <c:v>1026.555438040956</c:v>
                </c:pt>
                <c:pt idx="135">
                  <c:v>976.6160391998294</c:v>
                </c:pt>
                <c:pt idx="136">
                  <c:v>926.5347175563465</c:v>
                </c:pt>
                <c:pt idx="137">
                  <c:v>876.3699367733874</c:v>
                </c:pt>
                <c:pt idx="138">
                  <c:v>826.1751692062857</c:v>
                </c:pt>
                <c:pt idx="139">
                  <c:v>775.9988680041008</c:v>
                </c:pt>
                <c:pt idx="140">
                  <c:v>725.8844699570653</c:v>
                </c:pt>
                <c:pt idx="141">
                  <c:v>675.8704287852963</c:v>
                </c:pt>
                <c:pt idx="142">
                  <c:v>625.9902784081823</c:v>
                </c:pt>
                <c:pt idx="143">
                  <c:v>576.2727255808718</c:v>
                </c:pt>
                <c:pt idx="144">
                  <c:v>526.7417711346618</c:v>
                </c:pt>
                <c:pt idx="145">
                  <c:v>477.4168589124869</c:v>
                </c:pt>
                <c:pt idx="146">
                  <c:v>428.313051349999</c:v>
                </c:pt>
                <c:pt idx="147">
                  <c:v>379.44123051750057</c:v>
                </c:pt>
                <c:pt idx="148">
                  <c:v>330.8083233089317</c:v>
                </c:pt>
                <c:pt idx="149">
                  <c:v>282.4175493418402</c:v>
                </c:pt>
                <c:pt idx="150">
                  <c:v>234.26869001748457</c:v>
                </c:pt>
                <c:pt idx="151">
                  <c:v>186.35837708328518</c:v>
                </c:pt>
                <c:pt idx="152">
                  <c:v>138.68039894153378</c:v>
                </c:pt>
                <c:pt idx="153">
                  <c:v>91.2260228588134</c:v>
                </c:pt>
                <c:pt idx="154">
                  <c:v>43.98433115072362</c:v>
                </c:pt>
                <c:pt idx="155">
                  <c:v>-3.057430653748611</c:v>
                </c:pt>
                <c:pt idx="156">
                  <c:v>-49.91349572379636</c:v>
                </c:pt>
                <c:pt idx="157">
                  <c:v>-96.5992100194303</c:v>
                </c:pt>
                <c:pt idx="158">
                  <c:v>-143.13066070920274</c:v>
                </c:pt>
                <c:pt idx="159">
                  <c:v>-189.52430108490955</c:v>
                </c:pt>
                <c:pt idx="160">
                  <c:v>-235.79657416218163</c:v>
                </c:pt>
                <c:pt idx="161">
                  <c:v>-281.9635371616537</c:v>
                </c:pt>
                <c:pt idx="162">
                  <c:v>-328.040489060103</c:v>
                </c:pt>
                <c:pt idx="163">
                  <c:v>-374.0416033845887</c:v>
                </c:pt>
                <c:pt idx="164">
                  <c:v>-419.97956839510823</c:v>
                </c:pt>
                <c:pt idx="165">
                  <c:v>-465.8652367630434</c:v>
                </c:pt>
                <c:pt idx="166">
                  <c:v>-511.70728680364095</c:v>
                </c:pt>
                <c:pt idx="167">
                  <c:v>-557.5118972612537</c:v>
                </c:pt>
                <c:pt idx="168">
                  <c:v>-603.2824375764912</c:v>
                </c:pt>
                <c:pt idx="169">
                  <c:v>-649.0191754849493</c:v>
                </c:pt>
                <c:pt idx="170">
                  <c:v>-694.7190037083151</c:v>
                </c:pt>
                <c:pt idx="171">
                  <c:v>-740.3751874007618</c:v>
                </c:pt>
                <c:pt idx="172">
                  <c:v>-785.9771339072304</c:v>
                </c:pt>
                <c:pt idx="173">
                  <c:v>-831.5101862757393</c:v>
                </c:pt>
                <c:pt idx="174">
                  <c:v>-876.9554418442306</c:v>
                </c:pt>
                <c:pt idx="175">
                  <c:v>-922.2895970937333</c:v>
                </c:pt>
                <c:pt idx="176">
                  <c:v>-967.4848198249781</c:v>
                </c:pt>
                <c:pt idx="177">
                  <c:v>-1012.5086495752302</c:v>
                </c:pt>
                <c:pt idx="178">
                  <c:v>-1057.3239270470397</c:v>
                </c:pt>
                <c:pt idx="179">
                  <c:v>-1101.8887531713876</c:v>
                </c:pt>
                <c:pt idx="180">
                  <c:v>-1146.1564782750786</c:v>
                </c:pt>
              </c:numCache>
            </c:numRef>
          </c:yVal>
        </c:ser>
        <c:ser>
          <c:idx val="1"/>
          <c:order val="1"/>
          <c:tx>
            <c:v>Fy3_Glob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Feuil1!$AB$32:$AB$212</c:f>
              <c:numCache>
                <c:formatCode>0.000</c:formatCode>
                <c:ptCount val="181"/>
                <c:pt idx="0">
                  <c:v>-1146.1564782750793</c:v>
                </c:pt>
                <c:pt idx="1">
                  <c:v>-1101.8887531713879</c:v>
                </c:pt>
                <c:pt idx="2">
                  <c:v>-1057.3239270470422</c:v>
                </c:pt>
                <c:pt idx="3">
                  <c:v>-1012.5086495752316</c:v>
                </c:pt>
                <c:pt idx="4">
                  <c:v>-967.4848198249786</c:v>
                </c:pt>
                <c:pt idx="5">
                  <c:v>-922.2895970937333</c:v>
                </c:pt>
                <c:pt idx="6">
                  <c:v>-876.9554418442306</c:v>
                </c:pt>
                <c:pt idx="7">
                  <c:v>-831.5101862757391</c:v>
                </c:pt>
                <c:pt idx="8">
                  <c:v>-785.9771339072295</c:v>
                </c:pt>
                <c:pt idx="9">
                  <c:v>-740.3751874007621</c:v>
                </c:pt>
                <c:pt idx="10">
                  <c:v>-694.7190037083152</c:v>
                </c:pt>
                <c:pt idx="11">
                  <c:v>-649.0191754849511</c:v>
                </c:pt>
                <c:pt idx="12">
                  <c:v>-603.2824375764931</c:v>
                </c:pt>
                <c:pt idx="13">
                  <c:v>-557.511897261255</c:v>
                </c:pt>
                <c:pt idx="14">
                  <c:v>-511.70728680364095</c:v>
                </c:pt>
                <c:pt idx="15">
                  <c:v>-465.86523676304273</c:v>
                </c:pt>
                <c:pt idx="16">
                  <c:v>-419.97956839510766</c:v>
                </c:pt>
                <c:pt idx="17">
                  <c:v>-374.04160338458996</c:v>
                </c:pt>
                <c:pt idx="18">
                  <c:v>-328.0404890601036</c:v>
                </c:pt>
                <c:pt idx="19">
                  <c:v>-281.96353716165436</c:v>
                </c:pt>
                <c:pt idx="20">
                  <c:v>-235.79657416218356</c:v>
                </c:pt>
                <c:pt idx="21">
                  <c:v>-189.5243010849108</c:v>
                </c:pt>
                <c:pt idx="22">
                  <c:v>-143.1306607092033</c:v>
                </c:pt>
                <c:pt idx="23">
                  <c:v>-96.5992100194311</c:v>
                </c:pt>
                <c:pt idx="24">
                  <c:v>-49.91349572379636</c:v>
                </c:pt>
                <c:pt idx="25">
                  <c:v>-3.057430653750089</c:v>
                </c:pt>
                <c:pt idx="26">
                  <c:v>43.98433115072294</c:v>
                </c:pt>
                <c:pt idx="27">
                  <c:v>91.22602285881271</c:v>
                </c:pt>
                <c:pt idx="28">
                  <c:v>138.68039894153333</c:v>
                </c:pt>
                <c:pt idx="29">
                  <c:v>186.35837708328597</c:v>
                </c:pt>
                <c:pt idx="30">
                  <c:v>234.26869001748253</c:v>
                </c:pt>
                <c:pt idx="31">
                  <c:v>282.41754934183984</c:v>
                </c:pt>
                <c:pt idx="32">
                  <c:v>330.8083233089311</c:v>
                </c:pt>
                <c:pt idx="33">
                  <c:v>379.44123051750114</c:v>
                </c:pt>
                <c:pt idx="34">
                  <c:v>428.3130513499973</c:v>
                </c:pt>
                <c:pt idx="35">
                  <c:v>477.4168589124847</c:v>
                </c:pt>
                <c:pt idx="36">
                  <c:v>526.7417711346612</c:v>
                </c:pt>
                <c:pt idx="37">
                  <c:v>576.2727255808724</c:v>
                </c:pt>
                <c:pt idx="38">
                  <c:v>625.9902784081831</c:v>
                </c:pt>
                <c:pt idx="39">
                  <c:v>675.8704287852967</c:v>
                </c:pt>
                <c:pt idx="40">
                  <c:v>725.8844699570648</c:v>
                </c:pt>
                <c:pt idx="41">
                  <c:v>775.9988680041002</c:v>
                </c:pt>
                <c:pt idx="42">
                  <c:v>826.175169206285</c:v>
                </c:pt>
                <c:pt idx="43">
                  <c:v>876.3699367733852</c:v>
                </c:pt>
                <c:pt idx="44">
                  <c:v>926.5347175563445</c:v>
                </c:pt>
                <c:pt idx="45">
                  <c:v>976.6160391998287</c:v>
                </c:pt>
                <c:pt idx="46">
                  <c:v>1026.5554380409565</c:v>
                </c:pt>
                <c:pt idx="47">
                  <c:v>1076.289517901707</c:v>
                </c:pt>
                <c:pt idx="48">
                  <c:v>1125.7500397639621</c:v>
                </c:pt>
                <c:pt idx="49">
                  <c:v>1174.864042157331</c:v>
                </c:pt>
                <c:pt idx="50">
                  <c:v>1223.5539919316134</c:v>
                </c:pt>
                <c:pt idx="51">
                  <c:v>1271.7379649287504</c:v>
                </c:pt>
                <c:pt idx="52">
                  <c:v>1319.3298559141087</c:v>
                </c:pt>
                <c:pt idx="53">
                  <c:v>1366.239616974853</c:v>
                </c:pt>
                <c:pt idx="54">
                  <c:v>1412.3735234446053</c:v>
                </c:pt>
                <c:pt idx="55">
                  <c:v>1457.6344662693157</c:v>
                </c:pt>
                <c:pt idx="56">
                  <c:v>1501.9222695900985</c:v>
                </c:pt>
                <c:pt idx="57">
                  <c:v>1545.134032185269</c:v>
                </c:pt>
                <c:pt idx="58">
                  <c:v>1587.1644912867448</c:v>
                </c:pt>
                <c:pt idx="59">
                  <c:v>1627.9064071658488</c:v>
                </c:pt>
                <c:pt idx="60">
                  <c:v>1667.250966771101</c:v>
                </c:pt>
                <c:pt idx="61">
                  <c:v>1705.0882045962858</c:v>
                </c:pt>
                <c:pt idx="62">
                  <c:v>1741.3074388614868</c:v>
                </c:pt>
                <c:pt idx="63">
                  <c:v>1775.7977210033482</c:v>
                </c:pt>
                <c:pt idx="64">
                  <c:v>1808.448296394029</c:v>
                </c:pt>
                <c:pt idx="65">
                  <c:v>1839.149074141516</c:v>
                </c:pt>
                <c:pt idx="66">
                  <c:v>1867.7911037674944</c:v>
                </c:pt>
                <c:pt idx="67">
                  <c:v>1894.2670565131527</c:v>
                </c:pt>
                <c:pt idx="68">
                  <c:v>1918.4717089883427</c:v>
                </c:pt>
                <c:pt idx="69">
                  <c:v>1940.3024268556217</c:v>
                </c:pt>
                <c:pt idx="70">
                  <c:v>1959.6596462279972</c:v>
                </c:pt>
                <c:pt idx="71">
                  <c:v>1976.4473504577354</c:v>
                </c:pt>
                <c:pt idx="72">
                  <c:v>1990.5735400034587</c:v>
                </c:pt>
                <c:pt idx="73">
                  <c:v>2001.950693083843</c:v>
                </c:pt>
                <c:pt idx="74">
                  <c:v>2010.4962148585048</c:v>
                </c:pt>
                <c:pt idx="75">
                  <c:v>2016.132872919949</c:v>
                </c:pt>
                <c:pt idx="76">
                  <c:v>2018.7892169345819</c:v>
                </c:pt>
                <c:pt idx="77">
                  <c:v>2018.3999803354993</c:v>
                </c:pt>
                <c:pt idx="78">
                  <c:v>2014.9064620447475</c:v>
                </c:pt>
                <c:pt idx="79">
                  <c:v>2008.2568862876697</c:v>
                </c:pt>
                <c:pt idx="80">
                  <c:v>1998.4067386564147</c:v>
                </c:pt>
                <c:pt idx="81">
                  <c:v>1985.3190766832245</c:v>
                </c:pt>
                <c:pt idx="82">
                  <c:v>1968.9648132962432</c:v>
                </c:pt>
                <c:pt idx="83">
                  <c:v>1949.3229716508263</c:v>
                </c:pt>
                <c:pt idx="84">
                  <c:v>1926.3809099570058</c:v>
                </c:pt>
                <c:pt idx="85">
                  <c:v>1900.1345150583643</c:v>
                </c:pt>
                <c:pt idx="86">
                  <c:v>1870.5883636584285</c:v>
                </c:pt>
                <c:pt idx="87">
                  <c:v>1837.7558502370723</c:v>
                </c:pt>
                <c:pt idx="88">
                  <c:v>1801.6592808507246</c:v>
                </c:pt>
                <c:pt idx="89">
                  <c:v>1762.329932165622</c:v>
                </c:pt>
                <c:pt idx="90">
                  <c:v>1719.8080752321566</c:v>
                </c:pt>
                <c:pt idx="91">
                  <c:v>1674.1429636699072</c:v>
                </c:pt>
                <c:pt idx="92">
                  <c:v>1625.3927860962444</c:v>
                </c:pt>
                <c:pt idx="93">
                  <c:v>1573.6245827959133</c:v>
                </c:pt>
                <c:pt idx="94">
                  <c:v>1518.9141267936654</c:v>
                </c:pt>
                <c:pt idx="95">
                  <c:v>1461.3457696563519</c:v>
                </c:pt>
                <c:pt idx="96">
                  <c:v>1401.0122525137936</c:v>
                </c:pt>
                <c:pt idx="97">
                  <c:v>1338.0144829486685</c:v>
                </c:pt>
                <c:pt idx="98">
                  <c:v>1272.4612785637717</c:v>
                </c:pt>
                <c:pt idx="99">
                  <c:v>1204.4690781893664</c:v>
                </c:pt>
                <c:pt idx="100">
                  <c:v>1134.1616218436113</c:v>
                </c:pt>
                <c:pt idx="101">
                  <c:v>1061.6696007040036</c:v>
                </c:pt>
                <c:pt idx="102">
                  <c:v>987.13027848711</c:v>
                </c:pt>
                <c:pt idx="103">
                  <c:v>910.687085766769</c:v>
                </c:pt>
                <c:pt idx="104">
                  <c:v>832.4891888867012</c:v>
                </c:pt>
                <c:pt idx="105">
                  <c:v>752.6910352415836</c:v>
                </c:pt>
                <c:pt idx="106">
                  <c:v>671.4518768105679</c:v>
                </c:pt>
                <c:pt idx="107">
                  <c:v>588.9352739282798</c:v>
                </c:pt>
                <c:pt idx="108">
                  <c:v>505.3085813701666</c:v>
                </c:pt>
                <c:pt idx="109">
                  <c:v>420.74241891128577</c:v>
                </c:pt>
                <c:pt idx="110">
                  <c:v>335.4101285895048</c:v>
                </c:pt>
                <c:pt idx="111">
                  <c:v>249.48722096586857</c:v>
                </c:pt>
                <c:pt idx="112">
                  <c:v>163.15081272559144</c:v>
                </c:pt>
                <c:pt idx="113">
                  <c:v>76.57905800304354</c:v>
                </c:pt>
                <c:pt idx="114">
                  <c:v>-10.049424157160388</c:v>
                </c:pt>
                <c:pt idx="115">
                  <c:v>-96.55612377357</c:v>
                </c:pt>
                <c:pt idx="116">
                  <c:v>-182.76321290035344</c:v>
                </c:pt>
                <c:pt idx="117">
                  <c:v>-268.49411516887506</c:v>
                </c:pt>
                <c:pt idx="118">
                  <c:v>-353.5740694852228</c:v>
                </c:pt>
                <c:pt idx="119">
                  <c:v>-437.8306854987451</c:v>
                </c:pt>
                <c:pt idx="120">
                  <c:v>-521.0944884960227</c:v>
                </c:pt>
                <c:pt idx="121">
                  <c:v>-603.1994514248983</c:v>
                </c:pt>
                <c:pt idx="122">
                  <c:v>-683.9835118144447</c:v>
                </c:pt>
                <c:pt idx="123">
                  <c:v>-763.2890714281173</c:v>
                </c:pt>
                <c:pt idx="124">
                  <c:v>-840.963476569049</c:v>
                </c:pt>
                <c:pt idx="125">
                  <c:v>-916.8594770477805</c:v>
                </c:pt>
                <c:pt idx="126">
                  <c:v>-990.8356619232643</c:v>
                </c:pt>
                <c:pt idx="127">
                  <c:v>-1062.7568702374135</c:v>
                </c:pt>
                <c:pt idx="128">
                  <c:v>-1132.4945750811119</c:v>
                </c:pt>
                <c:pt idx="129">
                  <c:v>-1199.92723945486</c:v>
                </c:pt>
                <c:pt idx="130">
                  <c:v>-1264.9406425196823</c:v>
                </c:pt>
                <c:pt idx="131">
                  <c:v>-1327.4281749727852</c:v>
                </c:pt>
                <c:pt idx="132">
                  <c:v>-1387.291102426966</c:v>
                </c:pt>
                <c:pt idx="133">
                  <c:v>-1444.4387958225877</c:v>
                </c:pt>
                <c:pt idx="134">
                  <c:v>-1498.788928054864</c:v>
                </c:pt>
                <c:pt idx="135">
                  <c:v>-1550.2676361569058</c:v>
                </c:pt>
                <c:pt idx="136">
                  <c:v>-1598.8096485394735</c:v>
                </c:pt>
                <c:pt idx="137">
                  <c:v>-1644.3583769509082</c:v>
                </c:pt>
                <c:pt idx="138">
                  <c:v>-1686.8659729846431</c:v>
                </c:pt>
                <c:pt idx="139">
                  <c:v>-1726.2933491260148</c:v>
                </c:pt>
                <c:pt idx="140">
                  <c:v>-1762.610164494231</c:v>
                </c:pt>
                <c:pt idx="141">
                  <c:v>-1795.7947755983143</c:v>
                </c:pt>
                <c:pt idx="142">
                  <c:v>-1825.83415258704</c:v>
                </c:pt>
                <c:pt idx="143">
                  <c:v>-1852.723761631396</c:v>
                </c:pt>
                <c:pt idx="144">
                  <c:v>-1876.467414233209</c:v>
                </c:pt>
                <c:pt idx="145">
                  <c:v>-1897.0770844046128</c:v>
                </c:pt>
                <c:pt idx="146">
                  <c:v>-1914.57269480915</c:v>
                </c:pt>
                <c:pt idx="147">
                  <c:v>-1928.981873095885</c:v>
                </c:pt>
                <c:pt idx="148">
                  <c:v>-1940.339679792259</c:v>
                </c:pt>
                <c:pt idx="149">
                  <c:v>-1948.688309248908</c:v>
                </c:pt>
                <c:pt idx="150">
                  <c:v>-1954.0767652496397</c:v>
                </c:pt>
                <c:pt idx="151">
                  <c:v>-1956.5605130117456</c:v>
                </c:pt>
                <c:pt idx="152">
                  <c:v>-1956.2011094051759</c:v>
                </c:pt>
                <c:pt idx="153">
                  <c:v>-1953.0658133134134</c:v>
                </c:pt>
                <c:pt idx="154">
                  <c:v>-1947.2271781436618</c:v>
                </c:pt>
                <c:pt idx="155">
                  <c:v>-1938.762628568837</c:v>
                </c:pt>
                <c:pt idx="156">
                  <c:v>-1927.7540236484533</c:v>
                </c:pt>
                <c:pt idx="157">
                  <c:v>-1914.2872085295414</c:v>
                </c:pt>
                <c:pt idx="158">
                  <c:v>-1898.4515569719551</c:v>
                </c:pt>
                <c:pt idx="159">
                  <c:v>-1880.339506974664</c:v>
                </c:pt>
                <c:pt idx="160">
                  <c:v>-1860.0460918006775</c:v>
                </c:pt>
                <c:pt idx="161">
                  <c:v>-1837.6684687081029</c:v>
                </c:pt>
                <c:pt idx="162">
                  <c:v>-1813.305447693394</c:v>
                </c:pt>
                <c:pt idx="163">
                  <c:v>-1787.0570225401552</c:v>
                </c:pt>
                <c:pt idx="164">
                  <c:v>-1759.0239064430448</c:v>
                </c:pt>
                <c:pt idx="165">
                  <c:v>-1729.3070744414104</c:v>
                </c:pt>
                <c:pt idx="166">
                  <c:v>-1698.0073148515232</c:v>
                </c:pt>
                <c:pt idx="167">
                  <c:v>-1665.2247918299859</c:v>
                </c:pt>
                <c:pt idx="168">
                  <c:v>-1631.058621134132</c:v>
                </c:pt>
                <c:pt idx="169">
                  <c:v>-1595.6064610686185</c:v>
                </c:pt>
                <c:pt idx="170">
                  <c:v>-1558.9641205211183</c:v>
                </c:pt>
                <c:pt idx="171">
                  <c:v>-1521.2251858946215</c:v>
                </c:pt>
                <c:pt idx="172">
                  <c:v>-1482.4806686396992</c:v>
                </c:pt>
                <c:pt idx="173">
                  <c:v>-1442.8186749778947</c:v>
                </c:pt>
                <c:pt idx="174">
                  <c:v>-1402.3240992874428</c:v>
                </c:pt>
                <c:pt idx="175">
                  <c:v>-1361.078342495746</c:v>
                </c:pt>
                <c:pt idx="176">
                  <c:v>-1319.1590566897437</c:v>
                </c:pt>
                <c:pt idx="177">
                  <c:v>-1276.6399170163922</c:v>
                </c:pt>
                <c:pt idx="178">
                  <c:v>-1233.5904218015241</c:v>
                </c:pt>
                <c:pt idx="179">
                  <c:v>-1190.0757216671036</c:v>
                </c:pt>
                <c:pt idx="180">
                  <c:v>-1146.1564782750795</c:v>
                </c:pt>
              </c:numCache>
            </c:numRef>
          </c:yVal>
        </c:ser>
        <c:ser>
          <c:idx val="2"/>
          <c:order val="2"/>
          <c:tx>
            <c:v>Fy4_Glob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3"/>
              </a:solidFill>
              <a:ln xmlns:a="http://schemas.openxmlformats.org/drawingml/2006/main" cmpd="sng">
                <a:solidFill>
                  <a:schemeClr val="accent3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Feuil1!$AC$32:$AC$212</c:f>
              <c:numCache>
                <c:formatCode>0.000</c:formatCode>
                <c:ptCount val="181"/>
                <c:pt idx="0">
                  <c:v>1719.8080752321564</c:v>
                </c:pt>
                <c:pt idx="1">
                  <c:v>1762.3299321656223</c:v>
                </c:pt>
                <c:pt idx="2">
                  <c:v>1801.659280850725</c:v>
                </c:pt>
                <c:pt idx="3">
                  <c:v>1837.7558502370723</c:v>
                </c:pt>
                <c:pt idx="4">
                  <c:v>1870.588363658428</c:v>
                </c:pt>
                <c:pt idx="5">
                  <c:v>1900.1345150583631</c:v>
                </c:pt>
                <c:pt idx="6">
                  <c:v>1926.3809099570049</c:v>
                </c:pt>
                <c:pt idx="7">
                  <c:v>1949.3229716508267</c:v>
                </c:pt>
                <c:pt idx="8">
                  <c:v>1968.9648132962432</c:v>
                </c:pt>
                <c:pt idx="9">
                  <c:v>1985.3190766832242</c:v>
                </c:pt>
                <c:pt idx="10">
                  <c:v>1998.406738656415</c:v>
                </c:pt>
                <c:pt idx="11">
                  <c:v>2008.2568862876694</c:v>
                </c:pt>
                <c:pt idx="12">
                  <c:v>2014.9064620447473</c:v>
                </c:pt>
                <c:pt idx="13">
                  <c:v>2018.3999803354995</c:v>
                </c:pt>
                <c:pt idx="14">
                  <c:v>2018.7892169345819</c:v>
                </c:pt>
                <c:pt idx="15">
                  <c:v>2016.1328729199492</c:v>
                </c:pt>
                <c:pt idx="16">
                  <c:v>2010.496214858505</c:v>
                </c:pt>
                <c:pt idx="17">
                  <c:v>2001.950693083843</c:v>
                </c:pt>
                <c:pt idx="18">
                  <c:v>1990.5735400034587</c:v>
                </c:pt>
                <c:pt idx="19">
                  <c:v>1976.4473504577356</c:v>
                </c:pt>
                <c:pt idx="20">
                  <c:v>1959.6596462279972</c:v>
                </c:pt>
                <c:pt idx="21">
                  <c:v>1940.302426855622</c:v>
                </c:pt>
                <c:pt idx="22">
                  <c:v>1918.471708988343</c:v>
                </c:pt>
                <c:pt idx="23">
                  <c:v>1894.2670565131534</c:v>
                </c:pt>
                <c:pt idx="24">
                  <c:v>1867.7911037674949</c:v>
                </c:pt>
                <c:pt idx="25">
                  <c:v>1839.149074141516</c:v>
                </c:pt>
                <c:pt idx="26">
                  <c:v>1808.4482963940288</c:v>
                </c:pt>
                <c:pt idx="27">
                  <c:v>1775.7977210033487</c:v>
                </c:pt>
                <c:pt idx="28">
                  <c:v>1741.3074388614878</c:v>
                </c:pt>
                <c:pt idx="29">
                  <c:v>1705.0882045962858</c:v>
                </c:pt>
                <c:pt idx="30">
                  <c:v>1667.250966771101</c:v>
                </c:pt>
                <c:pt idx="31">
                  <c:v>1627.9064071658495</c:v>
                </c:pt>
                <c:pt idx="32">
                  <c:v>1587.1644912867448</c:v>
                </c:pt>
                <c:pt idx="33">
                  <c:v>1545.1340321852683</c:v>
                </c:pt>
                <c:pt idx="34">
                  <c:v>1501.9222695900985</c:v>
                </c:pt>
                <c:pt idx="35">
                  <c:v>1457.6344662693168</c:v>
                </c:pt>
                <c:pt idx="36">
                  <c:v>1412.3735234446056</c:v>
                </c:pt>
                <c:pt idx="37">
                  <c:v>1366.2396169748529</c:v>
                </c:pt>
                <c:pt idx="38">
                  <c:v>1319.3298559141092</c:v>
                </c:pt>
                <c:pt idx="39">
                  <c:v>1271.7379649287516</c:v>
                </c:pt>
                <c:pt idx="40">
                  <c:v>1223.553991931614</c:v>
                </c:pt>
                <c:pt idx="41">
                  <c:v>1174.8640421573311</c:v>
                </c:pt>
                <c:pt idx="42">
                  <c:v>1125.7500397639628</c:v>
                </c:pt>
                <c:pt idx="43">
                  <c:v>1076.289517901707</c:v>
                </c:pt>
                <c:pt idx="44">
                  <c:v>1026.5554380409562</c:v>
                </c:pt>
                <c:pt idx="45">
                  <c:v>976.616039199829</c:v>
                </c:pt>
                <c:pt idx="46">
                  <c:v>926.5347175563459</c:v>
                </c:pt>
                <c:pt idx="47">
                  <c:v>876.3699367733857</c:v>
                </c:pt>
                <c:pt idx="48">
                  <c:v>826.175169206285</c:v>
                </c:pt>
                <c:pt idx="49">
                  <c:v>775.9988680040997</c:v>
                </c:pt>
                <c:pt idx="50">
                  <c:v>725.8844699570649</c:v>
                </c:pt>
                <c:pt idx="51">
                  <c:v>675.8704287852978</c:v>
                </c:pt>
                <c:pt idx="52">
                  <c:v>625.9902784081831</c:v>
                </c:pt>
                <c:pt idx="53">
                  <c:v>576.272725580872</c:v>
                </c:pt>
                <c:pt idx="54">
                  <c:v>526.7417711346617</c:v>
                </c:pt>
                <c:pt idx="55">
                  <c:v>477.4168589124856</c:v>
                </c:pt>
                <c:pt idx="56">
                  <c:v>428.31305134999764</c:v>
                </c:pt>
                <c:pt idx="57">
                  <c:v>379.44123051750114</c:v>
                </c:pt>
                <c:pt idx="58">
                  <c:v>330.80832330893156</c:v>
                </c:pt>
                <c:pt idx="59">
                  <c:v>282.4175493418402</c:v>
                </c:pt>
                <c:pt idx="60">
                  <c:v>234.26869001748366</c:v>
                </c:pt>
                <c:pt idx="61">
                  <c:v>186.3583770832862</c:v>
                </c:pt>
                <c:pt idx="62">
                  <c:v>138.68039894153412</c:v>
                </c:pt>
                <c:pt idx="63">
                  <c:v>91.22602285881328</c:v>
                </c:pt>
                <c:pt idx="64">
                  <c:v>43.984331150722824</c:v>
                </c:pt>
                <c:pt idx="65">
                  <c:v>-3.057430653750316</c:v>
                </c:pt>
                <c:pt idx="66">
                  <c:v>-49.91349572379602</c:v>
                </c:pt>
                <c:pt idx="67">
                  <c:v>-96.59921001943007</c:v>
                </c:pt>
                <c:pt idx="68">
                  <c:v>-143.13066070920354</c:v>
                </c:pt>
                <c:pt idx="69">
                  <c:v>-189.52430108491046</c:v>
                </c:pt>
                <c:pt idx="70">
                  <c:v>-235.79657416218322</c:v>
                </c:pt>
                <c:pt idx="71">
                  <c:v>-281.96353716165345</c:v>
                </c:pt>
                <c:pt idx="72">
                  <c:v>-328.04048906010325</c:v>
                </c:pt>
                <c:pt idx="73">
                  <c:v>-374.0416033845895</c:v>
                </c:pt>
                <c:pt idx="74">
                  <c:v>-419.97956839510755</c:v>
                </c:pt>
                <c:pt idx="75">
                  <c:v>-465.86523676304296</c:v>
                </c:pt>
                <c:pt idx="76">
                  <c:v>-511.7072868036407</c:v>
                </c:pt>
                <c:pt idx="77">
                  <c:v>-557.5118972612545</c:v>
                </c:pt>
                <c:pt idx="78">
                  <c:v>-603.282437576492</c:v>
                </c:pt>
                <c:pt idx="79">
                  <c:v>-649.0191754849509</c:v>
                </c:pt>
                <c:pt idx="80">
                  <c:v>-694.7190037083146</c:v>
                </c:pt>
                <c:pt idx="81">
                  <c:v>-740.3751874007623</c:v>
                </c:pt>
                <c:pt idx="82">
                  <c:v>-785.9771339072284</c:v>
                </c:pt>
                <c:pt idx="83">
                  <c:v>-831.5101862757388</c:v>
                </c:pt>
                <c:pt idx="84">
                  <c:v>-876.9554418442303</c:v>
                </c:pt>
                <c:pt idx="85">
                  <c:v>-922.2895970937335</c:v>
                </c:pt>
                <c:pt idx="86">
                  <c:v>-967.4848198249784</c:v>
                </c:pt>
                <c:pt idx="87">
                  <c:v>-1012.5086495752308</c:v>
                </c:pt>
                <c:pt idx="88">
                  <c:v>-1057.3239270470413</c:v>
                </c:pt>
                <c:pt idx="89">
                  <c:v>-1101.888753171388</c:v>
                </c:pt>
                <c:pt idx="90">
                  <c:v>-1146.1564782750788</c:v>
                </c:pt>
                <c:pt idx="91">
                  <c:v>-1190.0757216671034</c:v>
                </c:pt>
                <c:pt idx="92">
                  <c:v>-1233.590421801522</c:v>
                </c:pt>
                <c:pt idx="93">
                  <c:v>-1276.6399170163904</c:v>
                </c:pt>
                <c:pt idx="94">
                  <c:v>-1319.1590566897428</c:v>
                </c:pt>
                <c:pt idx="95">
                  <c:v>-1361.0783424957458</c:v>
                </c:pt>
                <c:pt idx="96">
                  <c:v>-1402.3240992874428</c:v>
                </c:pt>
                <c:pt idx="97">
                  <c:v>-1442.8186749778952</c:v>
                </c:pt>
                <c:pt idx="98">
                  <c:v>-1482.4806686397</c:v>
                </c:pt>
                <c:pt idx="99">
                  <c:v>-1521.2251858946215</c:v>
                </c:pt>
                <c:pt idx="100">
                  <c:v>-1558.9641205211183</c:v>
                </c:pt>
                <c:pt idx="101">
                  <c:v>-1595.6064610686171</c:v>
                </c:pt>
                <c:pt idx="102">
                  <c:v>-1631.0586211341306</c:v>
                </c:pt>
                <c:pt idx="103">
                  <c:v>-1665.224791829985</c:v>
                </c:pt>
                <c:pt idx="104">
                  <c:v>-1698.0073148515232</c:v>
                </c:pt>
                <c:pt idx="105">
                  <c:v>-1729.3070744414106</c:v>
                </c:pt>
                <c:pt idx="106">
                  <c:v>-1759.023906443045</c:v>
                </c:pt>
                <c:pt idx="107">
                  <c:v>-1787.0570225401543</c:v>
                </c:pt>
                <c:pt idx="108">
                  <c:v>-1813.305447693394</c:v>
                </c:pt>
                <c:pt idx="109">
                  <c:v>-1837.6684687081026</c:v>
                </c:pt>
                <c:pt idx="110">
                  <c:v>-1860.0460918006763</c:v>
                </c:pt>
                <c:pt idx="111">
                  <c:v>-1880.3395069746634</c:v>
                </c:pt>
                <c:pt idx="112">
                  <c:v>-1898.4515569719551</c:v>
                </c:pt>
                <c:pt idx="113">
                  <c:v>-1914.2872085295412</c:v>
                </c:pt>
                <c:pt idx="114">
                  <c:v>-1927.7540236484533</c:v>
                </c:pt>
                <c:pt idx="115">
                  <c:v>-1938.7626285688366</c:v>
                </c:pt>
                <c:pt idx="116">
                  <c:v>-1947.2271781436616</c:v>
                </c:pt>
                <c:pt idx="117">
                  <c:v>-1953.0658133134134</c:v>
                </c:pt>
                <c:pt idx="118">
                  <c:v>-1956.2011094051759</c:v>
                </c:pt>
                <c:pt idx="119">
                  <c:v>-1956.5605130117456</c:v>
                </c:pt>
                <c:pt idx="120">
                  <c:v>-1954.0767652496397</c:v>
                </c:pt>
                <c:pt idx="121">
                  <c:v>-1948.6883092489084</c:v>
                </c:pt>
                <c:pt idx="122">
                  <c:v>-1940.3396797922592</c:v>
                </c:pt>
                <c:pt idx="123">
                  <c:v>-1928.981873095885</c:v>
                </c:pt>
                <c:pt idx="124">
                  <c:v>-1914.572694809151</c:v>
                </c:pt>
                <c:pt idx="125">
                  <c:v>-1897.0770844046137</c:v>
                </c:pt>
                <c:pt idx="126">
                  <c:v>-1876.4674142332092</c:v>
                </c:pt>
                <c:pt idx="127">
                  <c:v>-1852.723761631396</c:v>
                </c:pt>
                <c:pt idx="128">
                  <c:v>-1825.8341525870396</c:v>
                </c:pt>
                <c:pt idx="129">
                  <c:v>-1795.7947755983141</c:v>
                </c:pt>
                <c:pt idx="130">
                  <c:v>-1762.6101644942316</c:v>
                </c:pt>
                <c:pt idx="131">
                  <c:v>-1726.2933491260155</c:v>
                </c:pt>
                <c:pt idx="132">
                  <c:v>-1686.865972984644</c:v>
                </c:pt>
                <c:pt idx="133">
                  <c:v>-1644.35837695091</c:v>
                </c:pt>
                <c:pt idx="134">
                  <c:v>-1598.8096485394751</c:v>
                </c:pt>
                <c:pt idx="135">
                  <c:v>-1550.2676361569065</c:v>
                </c:pt>
                <c:pt idx="136">
                  <c:v>-1498.7889280548636</c:v>
                </c:pt>
                <c:pt idx="137">
                  <c:v>-1444.4387958225886</c:v>
                </c:pt>
                <c:pt idx="138">
                  <c:v>-1387.2911024269667</c:v>
                </c:pt>
                <c:pt idx="139">
                  <c:v>-1327.4281749727847</c:v>
                </c:pt>
                <c:pt idx="140">
                  <c:v>-1264.940642519683</c:v>
                </c:pt>
                <c:pt idx="141">
                  <c:v>-1199.9272394548611</c:v>
                </c:pt>
                <c:pt idx="142">
                  <c:v>-1132.4945750811146</c:v>
                </c:pt>
                <c:pt idx="143">
                  <c:v>-1062.7568702374142</c:v>
                </c:pt>
                <c:pt idx="144">
                  <c:v>-990.8356619232654</c:v>
                </c:pt>
                <c:pt idx="145">
                  <c:v>-916.8594770477837</c:v>
                </c:pt>
                <c:pt idx="146">
                  <c:v>-840.9634765690503</c:v>
                </c:pt>
                <c:pt idx="147">
                  <c:v>-763.2890714281166</c:v>
                </c:pt>
                <c:pt idx="148">
                  <c:v>-683.9835118144458</c:v>
                </c:pt>
                <c:pt idx="149">
                  <c:v>-603.1994514248993</c:v>
                </c:pt>
                <c:pt idx="150">
                  <c:v>-521.0944884960217</c:v>
                </c:pt>
                <c:pt idx="151">
                  <c:v>-437.83068549874645</c:v>
                </c:pt>
                <c:pt idx="152">
                  <c:v>-353.57406948522396</c:v>
                </c:pt>
                <c:pt idx="153">
                  <c:v>-268.49411516887835</c:v>
                </c:pt>
                <c:pt idx="154">
                  <c:v>-182.7632129003547</c:v>
                </c:pt>
                <c:pt idx="155">
                  <c:v>-96.55612377357102</c:v>
                </c:pt>
                <c:pt idx="156">
                  <c:v>-10.049424157163912</c:v>
                </c:pt>
                <c:pt idx="157">
                  <c:v>76.57905800304047</c:v>
                </c:pt>
                <c:pt idx="158">
                  <c:v>163.1508127255904</c:v>
                </c:pt>
                <c:pt idx="159">
                  <c:v>249.48722096586948</c:v>
                </c:pt>
                <c:pt idx="160">
                  <c:v>335.41012858950353</c:v>
                </c:pt>
                <c:pt idx="161">
                  <c:v>420.7424189112845</c:v>
                </c:pt>
                <c:pt idx="162">
                  <c:v>505.30858137016776</c:v>
                </c:pt>
                <c:pt idx="163">
                  <c:v>588.9352739282767</c:v>
                </c:pt>
                <c:pt idx="164">
                  <c:v>671.4518768105647</c:v>
                </c:pt>
                <c:pt idx="165">
                  <c:v>752.6910352415803</c:v>
                </c:pt>
                <c:pt idx="166">
                  <c:v>832.4891888866997</c:v>
                </c:pt>
                <c:pt idx="167">
                  <c:v>910.6870857667693</c:v>
                </c:pt>
                <c:pt idx="168">
                  <c:v>987.1302784871091</c:v>
                </c:pt>
                <c:pt idx="169">
                  <c:v>1061.6696007040027</c:v>
                </c:pt>
                <c:pt idx="170">
                  <c:v>1134.161621843612</c:v>
                </c:pt>
                <c:pt idx="171">
                  <c:v>1204.4690781893655</c:v>
                </c:pt>
                <c:pt idx="172">
                  <c:v>1272.4612785637707</c:v>
                </c:pt>
                <c:pt idx="173">
                  <c:v>1338.0144829486694</c:v>
                </c:pt>
                <c:pt idx="174">
                  <c:v>1401.0122525137913</c:v>
                </c:pt>
                <c:pt idx="175">
                  <c:v>1461.3457696563496</c:v>
                </c:pt>
                <c:pt idx="176">
                  <c:v>1518.9141267936634</c:v>
                </c:pt>
                <c:pt idx="177">
                  <c:v>1573.6245827959126</c:v>
                </c:pt>
                <c:pt idx="178">
                  <c:v>1625.3927860962451</c:v>
                </c:pt>
                <c:pt idx="179">
                  <c:v>1674.1429636699065</c:v>
                </c:pt>
                <c:pt idx="180">
                  <c:v>1719.8080752321562</c:v>
                </c:pt>
              </c:numCache>
            </c:numRef>
          </c:yVal>
        </c:ser>
        <c:ser>
          <c:idx val="3"/>
          <c:order val="3"/>
          <c:tx>
            <c:v>Fy1_Glob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chemeClr val="accent4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Feuil1!$Z$32:$Z$212</c:f>
              <c:numCache>
                <c:formatCode>0.000</c:formatCode>
                <c:ptCount val="181"/>
                <c:pt idx="0">
                  <c:v>1719.8080752321564</c:v>
                </c:pt>
                <c:pt idx="1">
                  <c:v>1674.1429636699063</c:v>
                </c:pt>
                <c:pt idx="2">
                  <c:v>1625.3927860962442</c:v>
                </c:pt>
                <c:pt idx="3">
                  <c:v>1573.6245827959126</c:v>
                </c:pt>
                <c:pt idx="4">
                  <c:v>1518.9141267936639</c:v>
                </c:pt>
                <c:pt idx="5">
                  <c:v>1461.3457696563507</c:v>
                </c:pt>
                <c:pt idx="6">
                  <c:v>1401.0122525137922</c:v>
                </c:pt>
                <c:pt idx="7">
                  <c:v>1338.0144829486699</c:v>
                </c:pt>
                <c:pt idx="8">
                  <c:v>1272.461278563772</c:v>
                </c:pt>
                <c:pt idx="9">
                  <c:v>1204.4690781893657</c:v>
                </c:pt>
                <c:pt idx="10">
                  <c:v>1134.1616218436118</c:v>
                </c:pt>
                <c:pt idx="11">
                  <c:v>1061.6696007040034</c:v>
                </c:pt>
                <c:pt idx="12">
                  <c:v>987.1302784871089</c:v>
                </c:pt>
                <c:pt idx="13">
                  <c:v>910.6870857667687</c:v>
                </c:pt>
                <c:pt idx="14">
                  <c:v>832.4891888866999</c:v>
                </c:pt>
                <c:pt idx="15">
                  <c:v>752.6910352415819</c:v>
                </c:pt>
                <c:pt idx="16">
                  <c:v>671.4518768105673</c:v>
                </c:pt>
                <c:pt idx="17">
                  <c:v>588.9352739282781</c:v>
                </c:pt>
                <c:pt idx="18">
                  <c:v>505.3085813701682</c:v>
                </c:pt>
                <c:pt idx="19">
                  <c:v>420.74241891128645</c:v>
                </c:pt>
                <c:pt idx="20">
                  <c:v>335.41012858950444</c:v>
                </c:pt>
                <c:pt idx="21">
                  <c:v>249.48722096586926</c:v>
                </c:pt>
                <c:pt idx="22">
                  <c:v>163.15081272559144</c:v>
                </c:pt>
                <c:pt idx="23">
                  <c:v>76.57905800304275</c:v>
                </c:pt>
                <c:pt idx="24">
                  <c:v>-10.04942415716232</c:v>
                </c:pt>
                <c:pt idx="25">
                  <c:v>-96.55612377357056</c:v>
                </c:pt>
                <c:pt idx="26">
                  <c:v>-182.7632129003557</c:v>
                </c:pt>
                <c:pt idx="27">
                  <c:v>-268.4941151688779</c:v>
                </c:pt>
                <c:pt idx="28">
                  <c:v>-353.5740694852226</c:v>
                </c:pt>
                <c:pt idx="29">
                  <c:v>-437.83068549874577</c:v>
                </c:pt>
                <c:pt idx="30">
                  <c:v>-521.0944884960217</c:v>
                </c:pt>
                <c:pt idx="31">
                  <c:v>-603.1994514248983</c:v>
                </c:pt>
                <c:pt idx="32">
                  <c:v>-683.9835118144458</c:v>
                </c:pt>
                <c:pt idx="33">
                  <c:v>-763.2890714281173</c:v>
                </c:pt>
                <c:pt idx="34">
                  <c:v>-840.9634765690503</c:v>
                </c:pt>
                <c:pt idx="35">
                  <c:v>-916.8594770477822</c:v>
                </c:pt>
                <c:pt idx="36">
                  <c:v>-990.8356619232648</c:v>
                </c:pt>
                <c:pt idx="37">
                  <c:v>-1062.756870237415</c:v>
                </c:pt>
                <c:pt idx="38">
                  <c:v>-1132.4945750811137</c:v>
                </c:pt>
                <c:pt idx="39">
                  <c:v>-1199.927239454859</c:v>
                </c:pt>
                <c:pt idx="40">
                  <c:v>-1264.9406425196823</c:v>
                </c:pt>
                <c:pt idx="41">
                  <c:v>-1327.428174972784</c:v>
                </c:pt>
                <c:pt idx="42">
                  <c:v>-1387.291102426966</c:v>
                </c:pt>
                <c:pt idx="43">
                  <c:v>-1444.4387958225882</c:v>
                </c:pt>
                <c:pt idx="44">
                  <c:v>-1498.7889280548638</c:v>
                </c:pt>
                <c:pt idx="45">
                  <c:v>-1550.2676361569063</c:v>
                </c:pt>
                <c:pt idx="46">
                  <c:v>-1598.8096485394742</c:v>
                </c:pt>
                <c:pt idx="47">
                  <c:v>-1644.3583769509096</c:v>
                </c:pt>
                <c:pt idx="48">
                  <c:v>-1686.865972984644</c:v>
                </c:pt>
                <c:pt idx="49">
                  <c:v>-1726.293349126016</c:v>
                </c:pt>
                <c:pt idx="50">
                  <c:v>-1762.6101644942314</c:v>
                </c:pt>
                <c:pt idx="51">
                  <c:v>-1795.7947755983132</c:v>
                </c:pt>
                <c:pt idx="52">
                  <c:v>-1825.8341525870396</c:v>
                </c:pt>
                <c:pt idx="53">
                  <c:v>-1852.7237616313957</c:v>
                </c:pt>
                <c:pt idx="54">
                  <c:v>-1876.4674142332092</c:v>
                </c:pt>
                <c:pt idx="55">
                  <c:v>-1897.0770844046133</c:v>
                </c:pt>
                <c:pt idx="56">
                  <c:v>-1914.572694809151</c:v>
                </c:pt>
                <c:pt idx="57">
                  <c:v>-1928.981873095885</c:v>
                </c:pt>
                <c:pt idx="58">
                  <c:v>-1940.3396797922592</c:v>
                </c:pt>
                <c:pt idx="59">
                  <c:v>-1948.688309248908</c:v>
                </c:pt>
                <c:pt idx="60">
                  <c:v>-1954.0767652496397</c:v>
                </c:pt>
                <c:pt idx="61">
                  <c:v>-1956.5605130117456</c:v>
                </c:pt>
                <c:pt idx="62">
                  <c:v>-1956.201109405176</c:v>
                </c:pt>
                <c:pt idx="63">
                  <c:v>-1953.0658133134134</c:v>
                </c:pt>
                <c:pt idx="64">
                  <c:v>-1947.2271781436616</c:v>
                </c:pt>
                <c:pt idx="65">
                  <c:v>-1938.7626285688368</c:v>
                </c:pt>
                <c:pt idx="66">
                  <c:v>-1927.7540236484538</c:v>
                </c:pt>
                <c:pt idx="67">
                  <c:v>-1914.2872085295417</c:v>
                </c:pt>
                <c:pt idx="68">
                  <c:v>-1898.451556971955</c:v>
                </c:pt>
                <c:pt idx="69">
                  <c:v>-1880.3395069746634</c:v>
                </c:pt>
                <c:pt idx="70">
                  <c:v>-1860.0460918006765</c:v>
                </c:pt>
                <c:pt idx="71">
                  <c:v>-1837.668468708103</c:v>
                </c:pt>
                <c:pt idx="72">
                  <c:v>-1813.3054476933937</c:v>
                </c:pt>
                <c:pt idx="73">
                  <c:v>-1787.0570225401543</c:v>
                </c:pt>
                <c:pt idx="74">
                  <c:v>-1759.0239064430452</c:v>
                </c:pt>
                <c:pt idx="75">
                  <c:v>-1729.3070744414104</c:v>
                </c:pt>
                <c:pt idx="76">
                  <c:v>-1698.0073148515235</c:v>
                </c:pt>
                <c:pt idx="77">
                  <c:v>-1665.224791829985</c:v>
                </c:pt>
                <c:pt idx="78">
                  <c:v>-1631.058621134131</c:v>
                </c:pt>
                <c:pt idx="79">
                  <c:v>-1595.6064610686174</c:v>
                </c:pt>
                <c:pt idx="80">
                  <c:v>-1558.9641205211183</c:v>
                </c:pt>
                <c:pt idx="81">
                  <c:v>-1521.2251858946213</c:v>
                </c:pt>
                <c:pt idx="82">
                  <c:v>-1482.4806686397005</c:v>
                </c:pt>
                <c:pt idx="83">
                  <c:v>-1442.8186749778956</c:v>
                </c:pt>
                <c:pt idx="84">
                  <c:v>-1402.324099287443</c:v>
                </c:pt>
                <c:pt idx="85">
                  <c:v>-1361.0783424957456</c:v>
                </c:pt>
                <c:pt idx="86">
                  <c:v>-1319.1590566897435</c:v>
                </c:pt>
                <c:pt idx="87">
                  <c:v>-1276.639917016391</c:v>
                </c:pt>
                <c:pt idx="88">
                  <c:v>-1233.5904218015226</c:v>
                </c:pt>
                <c:pt idx="89">
                  <c:v>-1190.0757216671032</c:v>
                </c:pt>
                <c:pt idx="90">
                  <c:v>-1146.1564782750793</c:v>
                </c:pt>
                <c:pt idx="91">
                  <c:v>-1101.8887531713879</c:v>
                </c:pt>
                <c:pt idx="92">
                  <c:v>-1057.3239270470422</c:v>
                </c:pt>
                <c:pt idx="93">
                  <c:v>-1012.5086495752316</c:v>
                </c:pt>
                <c:pt idx="94">
                  <c:v>-967.4848198249786</c:v>
                </c:pt>
                <c:pt idx="95">
                  <c:v>-922.2895970937333</c:v>
                </c:pt>
                <c:pt idx="96">
                  <c:v>-876.9554418442306</c:v>
                </c:pt>
                <c:pt idx="97">
                  <c:v>-831.5101862757391</c:v>
                </c:pt>
                <c:pt idx="98">
                  <c:v>-785.9771339072295</c:v>
                </c:pt>
                <c:pt idx="99">
                  <c:v>-740.3751874007621</c:v>
                </c:pt>
                <c:pt idx="100">
                  <c:v>-694.7190037083152</c:v>
                </c:pt>
                <c:pt idx="101">
                  <c:v>-649.0191754849511</c:v>
                </c:pt>
                <c:pt idx="102">
                  <c:v>-603.2824375764931</c:v>
                </c:pt>
                <c:pt idx="103">
                  <c:v>-557.511897261255</c:v>
                </c:pt>
                <c:pt idx="104">
                  <c:v>-511.70728680364095</c:v>
                </c:pt>
                <c:pt idx="105">
                  <c:v>-465.86523676304273</c:v>
                </c:pt>
                <c:pt idx="106">
                  <c:v>-419.97956839510766</c:v>
                </c:pt>
                <c:pt idx="107">
                  <c:v>-374.04160338458996</c:v>
                </c:pt>
                <c:pt idx="108">
                  <c:v>-328.0404890601036</c:v>
                </c:pt>
                <c:pt idx="109">
                  <c:v>-281.96353716165436</c:v>
                </c:pt>
                <c:pt idx="110">
                  <c:v>-235.79657416218356</c:v>
                </c:pt>
                <c:pt idx="111">
                  <c:v>-189.5243010849108</c:v>
                </c:pt>
                <c:pt idx="112">
                  <c:v>-143.1306607092033</c:v>
                </c:pt>
                <c:pt idx="113">
                  <c:v>-96.5992100194311</c:v>
                </c:pt>
                <c:pt idx="114">
                  <c:v>-49.91349572379636</c:v>
                </c:pt>
                <c:pt idx="115">
                  <c:v>-3.057430653750089</c:v>
                </c:pt>
                <c:pt idx="116">
                  <c:v>43.98433115072294</c:v>
                </c:pt>
                <c:pt idx="117">
                  <c:v>91.22602285881271</c:v>
                </c:pt>
                <c:pt idx="118">
                  <c:v>138.68039894153333</c:v>
                </c:pt>
                <c:pt idx="119">
                  <c:v>186.35837708328597</c:v>
                </c:pt>
                <c:pt idx="120">
                  <c:v>234.26869001748253</c:v>
                </c:pt>
                <c:pt idx="121">
                  <c:v>282.41754934183984</c:v>
                </c:pt>
                <c:pt idx="122">
                  <c:v>330.8083233089311</c:v>
                </c:pt>
                <c:pt idx="123">
                  <c:v>379.44123051750114</c:v>
                </c:pt>
                <c:pt idx="124">
                  <c:v>428.3130513499973</c:v>
                </c:pt>
                <c:pt idx="125">
                  <c:v>477.4168589124847</c:v>
                </c:pt>
                <c:pt idx="126">
                  <c:v>526.7417711346612</c:v>
                </c:pt>
                <c:pt idx="127">
                  <c:v>576.2727255808724</c:v>
                </c:pt>
                <c:pt idx="128">
                  <c:v>625.9902784081831</c:v>
                </c:pt>
                <c:pt idx="129">
                  <c:v>675.8704287852967</c:v>
                </c:pt>
                <c:pt idx="130">
                  <c:v>725.8844699570648</c:v>
                </c:pt>
                <c:pt idx="131">
                  <c:v>775.9988680041002</c:v>
                </c:pt>
                <c:pt idx="132">
                  <c:v>826.175169206285</c:v>
                </c:pt>
                <c:pt idx="133">
                  <c:v>876.3699367733852</c:v>
                </c:pt>
                <c:pt idx="134">
                  <c:v>926.5347175563445</c:v>
                </c:pt>
                <c:pt idx="135">
                  <c:v>976.6160391998287</c:v>
                </c:pt>
                <c:pt idx="136">
                  <c:v>1026.5554380409565</c:v>
                </c:pt>
                <c:pt idx="137">
                  <c:v>1076.289517901707</c:v>
                </c:pt>
                <c:pt idx="138">
                  <c:v>1125.7500397639621</c:v>
                </c:pt>
                <c:pt idx="139">
                  <c:v>1174.864042157331</c:v>
                </c:pt>
                <c:pt idx="140">
                  <c:v>1223.5539919316134</c:v>
                </c:pt>
                <c:pt idx="141">
                  <c:v>1271.7379649287504</c:v>
                </c:pt>
                <c:pt idx="142">
                  <c:v>1319.3298559141087</c:v>
                </c:pt>
                <c:pt idx="143">
                  <c:v>1366.239616974853</c:v>
                </c:pt>
                <c:pt idx="144">
                  <c:v>1412.3735234446053</c:v>
                </c:pt>
                <c:pt idx="145">
                  <c:v>1457.6344662693157</c:v>
                </c:pt>
                <c:pt idx="146">
                  <c:v>1501.9222695900985</c:v>
                </c:pt>
                <c:pt idx="147">
                  <c:v>1545.134032185269</c:v>
                </c:pt>
                <c:pt idx="148">
                  <c:v>1587.1644912867448</c:v>
                </c:pt>
                <c:pt idx="149">
                  <c:v>1627.9064071658488</c:v>
                </c:pt>
                <c:pt idx="150">
                  <c:v>1667.250966771101</c:v>
                </c:pt>
                <c:pt idx="151">
                  <c:v>1705.0882045962858</c:v>
                </c:pt>
                <c:pt idx="152">
                  <c:v>1741.3074388614868</c:v>
                </c:pt>
                <c:pt idx="153">
                  <c:v>1775.7977210033482</c:v>
                </c:pt>
                <c:pt idx="154">
                  <c:v>1808.448296394029</c:v>
                </c:pt>
                <c:pt idx="155">
                  <c:v>1839.149074141516</c:v>
                </c:pt>
                <c:pt idx="156">
                  <c:v>1867.7911037674944</c:v>
                </c:pt>
                <c:pt idx="157">
                  <c:v>1894.2670565131527</c:v>
                </c:pt>
                <c:pt idx="158">
                  <c:v>1918.4717089883427</c:v>
                </c:pt>
                <c:pt idx="159">
                  <c:v>1940.3024268556217</c:v>
                </c:pt>
                <c:pt idx="160">
                  <c:v>1959.6596462279972</c:v>
                </c:pt>
                <c:pt idx="161">
                  <c:v>1976.4473504577354</c:v>
                </c:pt>
                <c:pt idx="162">
                  <c:v>1990.5735400034587</c:v>
                </c:pt>
                <c:pt idx="163">
                  <c:v>2001.950693083843</c:v>
                </c:pt>
                <c:pt idx="164">
                  <c:v>2010.4962148585048</c:v>
                </c:pt>
                <c:pt idx="165">
                  <c:v>2016.132872919949</c:v>
                </c:pt>
                <c:pt idx="166">
                  <c:v>2018.7892169345819</c:v>
                </c:pt>
                <c:pt idx="167">
                  <c:v>2018.3999803354993</c:v>
                </c:pt>
                <c:pt idx="168">
                  <c:v>2014.9064620447475</c:v>
                </c:pt>
                <c:pt idx="169">
                  <c:v>2008.2568862876697</c:v>
                </c:pt>
                <c:pt idx="170">
                  <c:v>1998.4067386564147</c:v>
                </c:pt>
                <c:pt idx="171">
                  <c:v>1985.3190766832245</c:v>
                </c:pt>
                <c:pt idx="172">
                  <c:v>1968.9648132962432</c:v>
                </c:pt>
                <c:pt idx="173">
                  <c:v>1949.3229716508263</c:v>
                </c:pt>
                <c:pt idx="174">
                  <c:v>1926.3809099570058</c:v>
                </c:pt>
                <c:pt idx="175">
                  <c:v>1900.1345150583643</c:v>
                </c:pt>
                <c:pt idx="176">
                  <c:v>1870.5883636584285</c:v>
                </c:pt>
                <c:pt idx="177">
                  <c:v>1837.7558502370723</c:v>
                </c:pt>
                <c:pt idx="178">
                  <c:v>1801.6592808507246</c:v>
                </c:pt>
                <c:pt idx="179">
                  <c:v>1762.329932165622</c:v>
                </c:pt>
                <c:pt idx="180">
                  <c:v>1719.8080752321566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631471"/>
        <c:axId val="1906838838"/>
      </c:scatterChart>
      <c:valAx>
        <c:axId val="190683883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Force en 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820631471"/>
        <c:crosses val="autoZero"/>
        <c:crossBetween val="midCat"/>
      </c:valAx>
      <c:valAx>
        <c:axId val="1820631471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906838838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6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Force X repère global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Fx2_Glob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Feuil1!$W$32:$W$212</c:f>
              <c:numCache>
                <c:formatCode>0.000</c:formatCode>
                <c:ptCount val="181"/>
                <c:pt idx="0">
                  <c:v>2767.066514453479</c:v>
                </c:pt>
                <c:pt idx="1">
                  <c:v>2748.3817406284593</c:v>
                </c:pt>
                <c:pt idx="2">
                  <c:v>2728.8722592530294</c:v>
                </c:pt>
                <c:pt idx="3">
                  <c:v>2708.54338126575</c:v>
                </c:pt>
                <c:pt idx="4">
                  <c:v>2687.389210276317</c:v>
                </c:pt>
                <c:pt idx="5">
                  <c:v>2665.39279914132</c:v>
                </c:pt>
                <c:pt idx="6">
                  <c:v>2642.526378740443</c:v>
                </c:pt>
                <c:pt idx="7">
                  <c:v>2618.751657660424</c:v>
                </c:pt>
                <c:pt idx="8">
                  <c:v>2594.0201911264376</c:v>
                </c:pt>
                <c:pt idx="9">
                  <c:v>2568.2738171613005</c:v>
                </c:pt>
                <c:pt idx="10">
                  <c:v>2541.4451576037413</c:v>
                </c:pt>
                <c:pt idx="11">
                  <c:v>2513.4581812796378</c:v>
                </c:pt>
                <c:pt idx="12">
                  <c:v>2484.2288262963066</c:v>
                </c:pt>
                <c:pt idx="13">
                  <c:v>2453.665678121207</c:v>
                </c:pt>
                <c:pt idx="14">
                  <c:v>2421.670699814371</c:v>
                </c:pt>
                <c:pt idx="15">
                  <c:v>2388.1400105098583</c:v>
                </c:pt>
                <c:pt idx="16">
                  <c:v>2352.9647079870047</c:v>
                </c:pt>
                <c:pt idx="17">
                  <c:v>2316.031730938419</c:v>
                </c:pt>
                <c:pt idx="18">
                  <c:v>2277.2247563296946</c:v>
                </c:pt>
                <c:pt idx="19">
                  <c:v>2236.425127056804</c:v>
                </c:pt>
                <c:pt idx="20">
                  <c:v>2193.512804941949</c:v>
                </c:pt>
                <c:pt idx="21">
                  <c:v>2148.3673439682257</c:v>
                </c:pt>
                <c:pt idx="22">
                  <c:v>2100.8688785383315</c:v>
                </c:pt>
                <c:pt idx="23">
                  <c:v>2050.899121453547</c:v>
                </c:pt>
                <c:pt idx="24">
                  <c:v>1998.342366246497</c:v>
                </c:pt>
                <c:pt idx="25">
                  <c:v>1943.086488465385</c:v>
                </c:pt>
                <c:pt idx="26">
                  <c:v>1885.0239404983995</c:v>
                </c:pt>
                <c:pt idx="27">
                  <c:v>1824.0527345451221</c:v>
                </c:pt>
                <c:pt idx="28">
                  <c:v>1760.0774083867477</c:v>
                </c:pt>
                <c:pt idx="29">
                  <c:v>1693.0099686787225</c:v>
                </c:pt>
                <c:pt idx="30">
                  <c:v>1622.7708065875372</c:v>
                </c:pt>
                <c:pt idx="31">
                  <c:v>1549.2895807175053</c:v>
                </c:pt>
                <c:pt idx="32">
                  <c:v>1472.5060624228645</c:v>
                </c:pt>
                <c:pt idx="33">
                  <c:v>1392.3709387744987</c:v>
                </c:pt>
                <c:pt idx="34">
                  <c:v>1308.8465686485806</c:v>
                </c:pt>
                <c:pt idx="35">
                  <c:v>1221.9076876250151</c:v>
                </c:pt>
                <c:pt idx="36">
                  <c:v>1131.5420576261458</c:v>
                </c:pt>
                <c:pt idx="37">
                  <c:v>1037.751057489217</c:v>
                </c:pt>
                <c:pt idx="38">
                  <c:v>940.5502109484773</c:v>
                </c:pt>
                <c:pt idx="39">
                  <c:v>839.9696488032279</c:v>
                </c:pt>
                <c:pt idx="40">
                  <c:v>736.0545023649447</c:v>
                </c:pt>
                <c:pt idx="41">
                  <c:v>628.8652256084475</c:v>
                </c:pt>
                <c:pt idx="42">
                  <c:v>518.4778437972288</c:v>
                </c:pt>
                <c:pt idx="43">
                  <c:v>404.9841267099365</c:v>
                </c:pt>
                <c:pt idx="44">
                  <c:v>288.49168496176765</c:v>
                </c:pt>
                <c:pt idx="45">
                  <c:v>169.12398828941446</c:v>
                </c:pt>
                <c:pt idx="46">
                  <c:v>47.02030504948925</c:v>
                </c:pt>
                <c:pt idx="47">
                  <c:v>-77.66443743400566</c:v>
                </c:pt>
                <c:pt idx="48">
                  <c:v>-204.7598716492795</c:v>
                </c:pt>
                <c:pt idx="49">
                  <c:v>-334.0804873905885</c:v>
                </c:pt>
                <c:pt idx="50">
                  <c:v>-465.42600716574515</c:v>
                </c:pt>
                <c:pt idx="51">
                  <c:v>-598.5818383321375</c:v>
                </c:pt>
                <c:pt idx="52">
                  <c:v>-733.3196003963592</c:v>
                </c:pt>
                <c:pt idx="53">
                  <c:v>-869.3977255398459</c:v>
                </c:pt>
                <c:pt idx="54">
                  <c:v>-1006.5621300687699</c:v>
                </c:pt>
                <c:pt idx="55">
                  <c:v>-1144.5469541327502</c:v>
                </c:pt>
                <c:pt idx="56">
                  <c:v>-1283.0753667154468</c:v>
                </c:pt>
                <c:pt idx="57">
                  <c:v>-1421.860432572517</c:v>
                </c:pt>
                <c:pt idx="58">
                  <c:v>-1560.6060374802626</c:v>
                </c:pt>
                <c:pt idx="59">
                  <c:v>-1699.0078678631016</c:v>
                </c:pt>
                <c:pt idx="60">
                  <c:v>-1836.754440591324</c:v>
                </c:pt>
                <c:pt idx="61">
                  <c:v>-1973.5281784837114</c:v>
                </c:pt>
                <c:pt idx="62">
                  <c:v>-2109.006526813849</c:v>
                </c:pt>
                <c:pt idx="63">
                  <c:v>-2242.86310590529</c:v>
                </c:pt>
                <c:pt idx="64">
                  <c:v>-2374.7688947105994</c:v>
                </c:pt>
                <c:pt idx="65">
                  <c:v>-2504.3934401032816</c:v>
                </c:pt>
                <c:pt idx="66">
                  <c:v>-2631.4060864706394</c:v>
                </c:pt>
                <c:pt idx="67">
                  <c:v>-2755.477220080503</c:v>
                </c:pt>
                <c:pt idx="68">
                  <c:v>-2876.279522605994</c:v>
                </c:pt>
                <c:pt idx="69">
                  <c:v>-2993.4892281305197</c:v>
                </c:pt>
                <c:pt idx="70">
                  <c:v>-3106.7873779203983</c:v>
                </c:pt>
                <c:pt idx="71">
                  <c:v>-3215.8610672449827</c:v>
                </c:pt>
                <c:pt idx="72">
                  <c:v>-3320.404678544081</c:v>
                </c:pt>
                <c:pt idx="73">
                  <c:v>-3420.121095289664</c:v>
                </c:pt>
                <c:pt idx="74">
                  <c:v>-3514.722890963234</c:v>
                </c:pt>
                <c:pt idx="75">
                  <c:v>-3603.9334876712037</c:v>
                </c:pt>
                <c:pt idx="76">
                  <c:v>-3687.488279048145</c:v>
                </c:pt>
                <c:pt idx="77">
                  <c:v>-3765.1357122508202</c:v>
                </c:pt>
                <c:pt idx="78">
                  <c:v>-3836.63832402398</c:v>
                </c:pt>
                <c:pt idx="79">
                  <c:v>-3901.773726021187</c:v>
                </c:pt>
                <c:pt idx="80">
                  <c:v>-3960.3355347892984</c:v>
                </c:pt>
                <c:pt idx="81">
                  <c:v>-4012.134242072812</c:v>
                </c:pt>
                <c:pt idx="82">
                  <c:v>-4056.998021362726</c:v>
                </c:pt>
                <c:pt idx="83">
                  <c:v>-4094.773466902692</c:v>
                </c:pt>
                <c:pt idx="84">
                  <c:v>-4125.326261671612</c:v>
                </c:pt>
                <c:pt idx="85">
                  <c:v>-4148.541771185111</c:v>
                </c:pt>
                <c:pt idx="86">
                  <c:v>-4164.325560296707</c:v>
                </c:pt>
                <c:pt idx="87">
                  <c:v>-4172.603830531678</c:v>
                </c:pt>
                <c:pt idx="88">
                  <c:v>-4173.323775850697</c:v>
                </c:pt>
                <c:pt idx="89">
                  <c:v>-4166.453855114585</c:v>
                </c:pt>
                <c:pt idx="90">
                  <c:v>-4151.983979904239</c:v>
                </c:pt>
                <c:pt idx="91">
                  <c:v>-4129.925616739091</c:v>
                </c:pt>
                <c:pt idx="92">
                  <c:v>-4100.311803131423</c:v>
                </c:pt>
                <c:pt idx="93">
                  <c:v>-4063.197077310755</c:v>
                </c:pt>
                <c:pt idx="94">
                  <c:v>-4018.657321850115</c:v>
                </c:pt>
                <c:pt idx="95">
                  <c:v>-3966.7895218229237</c:v>
                </c:pt>
                <c:pt idx="96">
                  <c:v>-3907.71143851289</c:v>
                </c:pt>
                <c:pt idx="97">
                  <c:v>-3841.561200088457</c:v>
                </c:pt>
                <c:pt idx="98">
                  <c:v>-3768.4968110357368</c:v>
                </c:pt>
                <c:pt idx="99">
                  <c:v>-3688.6955825176456</c:v>
                </c:pt>
                <c:pt idx="100">
                  <c:v>-3602.3534861907146</c:v>
                </c:pt>
                <c:pt idx="101">
                  <c:v>-3509.6844343624994</c:v>
                </c:pt>
                <c:pt idx="102">
                  <c:v>-3410.919489710348</c:v>
                </c:pt>
                <c:pt idx="103">
                  <c:v>-3306.3060081048934</c:v>
                </c:pt>
                <c:pt idx="104">
                  <c:v>-3196.1067183871314</c:v>
                </c:pt>
                <c:pt idx="105">
                  <c:v>-3080.5987432352413</c:v>
                </c:pt>
                <c:pt idx="106">
                  <c:v>-2960.0725655248784</c:v>
                </c:pt>
                <c:pt idx="107">
                  <c:v>-2834.8309448331297</c:v>
                </c:pt>
                <c:pt idx="108">
                  <c:v>-2705.187788960656</c:v>
                </c:pt>
                <c:pt idx="109">
                  <c:v>-2571.4669855477373</c:v>
                </c:pt>
                <c:pt idx="110">
                  <c:v>-2434.001199036578</c:v>
                </c:pt>
                <c:pt idx="111">
                  <c:v>-2293.1306383843257</c:v>
                </c:pt>
                <c:pt idx="112">
                  <c:v>-2149.201801057067</c:v>
                </c:pt>
                <c:pt idx="113">
                  <c:v>-2002.5661989348134</c:v>
                </c:pt>
                <c:pt idx="114">
                  <c:v>-1853.5790718303992</c:v>
                </c:pt>
                <c:pt idx="115">
                  <c:v>-1702.5980943707577</c:v>
                </c:pt>
                <c:pt idx="116">
                  <c:v>-1549.9820820074676</c:v>
                </c:pt>
                <c:pt idx="117">
                  <c:v>-1396.0897019141623</c:v>
                </c:pt>
                <c:pt idx="118">
                  <c:v>-1241.278194492038</c:v>
                </c:pt>
                <c:pt idx="119">
                  <c:v>-1085.9021111408513</c:v>
                </c:pt>
                <c:pt idx="120">
                  <c:v>-930.3120738621541</c:v>
                </c:pt>
                <c:pt idx="121">
                  <c:v>-774.853562144747</c:v>
                </c:pt>
                <c:pt idx="122">
                  <c:v>-619.8657324391793</c:v>
                </c:pt>
                <c:pt idx="123">
                  <c:v>-465.68027536045855</c:v>
                </c:pt>
                <c:pt idx="124">
                  <c:v>-312.620315565721</c:v>
                </c:pt>
                <c:pt idx="125">
                  <c:v>-160.99935903804248</c:v>
                </c:pt>
                <c:pt idx="126">
                  <c:v>-11.120292269802633</c:v>
                </c:pt>
                <c:pt idx="127">
                  <c:v>136.72556242007983</c:v>
                </c:pt>
                <c:pt idx="128">
                  <c:v>282.25933147955334</c:v>
                </c:pt>
                <c:pt idx="129">
                  <c:v>425.2154109692205</c:v>
                </c:pt>
                <c:pt idx="130">
                  <c:v>565.3422203166577</c:v>
                </c:pt>
                <c:pt idx="131">
                  <c:v>702.4028859653486</c:v>
                </c:pt>
                <c:pt idx="132">
                  <c:v>836.1758522477753</c:v>
                </c:pt>
                <c:pt idx="133">
                  <c:v>966.455417168458</c:v>
                </c:pt>
                <c:pt idx="134">
                  <c:v>1093.0521911488659</c:v>
                </c:pt>
                <c:pt idx="135">
                  <c:v>1215.7934771613454</c:v>
                </c:pt>
                <c:pt idx="136">
                  <c:v>1334.5235710611382</c:v>
                </c:pt>
                <c:pt idx="137">
                  <c:v>1449.1039813123973</c:v>
                </c:pt>
                <c:pt idx="138">
                  <c:v>1559.4135676942838</c:v>
                </c:pt>
                <c:pt idx="139">
                  <c:v>1665.3485989643814</c:v>
                </c:pt>
                <c:pt idx="140">
                  <c:v>1766.822729847348</c:v>
                </c:pt>
                <c:pt idx="141">
                  <c:v>1863.7668981045886</c:v>
                </c:pt>
                <c:pt idx="142">
                  <c:v>1956.1291428243965</c:v>
                </c:pt>
                <c:pt idx="143">
                  <c:v>2043.8743454491455</c:v>
                </c:pt>
                <c:pt idx="144">
                  <c:v>2126.9838954251145</c:v>
                </c:pt>
                <c:pt idx="145">
                  <c:v>2205.4552827197253</c:v>
                </c:pt>
                <c:pt idx="146">
                  <c:v>2279.3016197983056</c:v>
                </c:pt>
                <c:pt idx="147">
                  <c:v>2348.551095986556</c:v>
                </c:pt>
                <c:pt idx="148">
                  <c:v>2413.246367463949</c:v>
                </c:pt>
                <c:pt idx="149">
                  <c:v>2473.4438864358613</c:v>
                </c:pt>
                <c:pt idx="150">
                  <c:v>2529.213173316702</c:v>
                </c:pt>
                <c:pt idx="151">
                  <c:v>2580.636036021586</c:v>
                </c:pt>
                <c:pt idx="152">
                  <c:v>2627.8057407085607</c:v>
                </c:pt>
                <c:pt idx="153">
                  <c:v>2670.826138536255</c:v>
                </c:pt>
                <c:pt idx="154">
                  <c:v>2709.8107532015338</c:v>
                </c:pt>
                <c:pt idx="155">
                  <c:v>2744.881834197909</c:v>
                </c:pt>
                <c:pt idx="156">
                  <c:v>2776.1693808867426</c:v>
                </c:pt>
                <c:pt idx="157">
                  <c:v>2803.8101425992404</c:v>
                </c:pt>
                <c:pt idx="158">
                  <c:v>2827.94660008726</c:v>
                </c:pt>
                <c:pt idx="159">
                  <c:v>2848.725933714418</c:v>
                </c:pt>
                <c:pt idx="160">
                  <c:v>2866.29898382577</c:v>
                </c:pt>
                <c:pt idx="161">
                  <c:v>2880.81920875405</c:v>
                </c:pt>
                <c:pt idx="162">
                  <c:v>2892.441645913117</c:v>
                </c:pt>
                <c:pt idx="163">
                  <c:v>2901.321881394957</c:v>
                </c:pt>
                <c:pt idx="164">
                  <c:v>2907.615033425364</c:v>
                </c:pt>
                <c:pt idx="165">
                  <c:v>2911.4747549458248</c:v>
                </c:pt>
                <c:pt idx="166">
                  <c:v>2913.052260475387</c:v>
                </c:pt>
                <c:pt idx="167">
                  <c:v>2912.4953822671328</c:v>
                </c:pt>
                <c:pt idx="168">
                  <c:v>2909.9476606099397</c:v>
                </c:pt>
                <c:pt idx="169">
                  <c:v>2905.547472938327</c:v>
                </c:pt>
                <c:pt idx="170">
                  <c:v>2899.427206202324</c:v>
                </c:pt>
                <c:pt idx="171">
                  <c:v>2891.712476716468</c:v>
                </c:pt>
                <c:pt idx="172">
                  <c:v>2882.5214014534263</c:v>
                </c:pt>
                <c:pt idx="173">
                  <c:v>2871.9639244746563</c:v>
                </c:pt>
                <c:pt idx="174">
                  <c:v>2860.141201899166</c:v>
                </c:pt>
                <c:pt idx="175">
                  <c:v>2847.1450485035093</c:v>
                </c:pt>
                <c:pt idx="176">
                  <c:v>2833.0574487229114</c:v>
                </c:pt>
                <c:pt idx="177">
                  <c:v>2817.950134486674</c:v>
                </c:pt>
                <c:pt idx="178">
                  <c:v>2801.884231972301</c:v>
                </c:pt>
                <c:pt idx="179">
                  <c:v>2784.909979003954</c:v>
                </c:pt>
                <c:pt idx="180">
                  <c:v>2767.066514453479</c:v>
                </c:pt>
              </c:numCache>
            </c:numRef>
          </c:yVal>
        </c:ser>
        <c:ser>
          <c:idx val="1"/>
          <c:order val="1"/>
          <c:tx>
            <c:v>Fx3_Glob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Feuil1!$X$32:$X$212</c:f>
              <c:numCache>
                <c:formatCode>0.000</c:formatCode>
                <c:ptCount val="181"/>
                <c:pt idx="0">
                  <c:v>-2767.066514453479</c:v>
                </c:pt>
                <c:pt idx="1">
                  <c:v>-2784.909979003954</c:v>
                </c:pt>
                <c:pt idx="2">
                  <c:v>-2801.8842319723008</c:v>
                </c:pt>
                <c:pt idx="3">
                  <c:v>-2817.950134486673</c:v>
                </c:pt>
                <c:pt idx="4">
                  <c:v>-2833.057448722911</c:v>
                </c:pt>
                <c:pt idx="5">
                  <c:v>-2847.1450485035093</c:v>
                </c:pt>
                <c:pt idx="6">
                  <c:v>-2860.141201899166</c:v>
                </c:pt>
                <c:pt idx="7">
                  <c:v>-2871.963924474657</c:v>
                </c:pt>
                <c:pt idx="8">
                  <c:v>-2882.5214014534267</c:v>
                </c:pt>
                <c:pt idx="9">
                  <c:v>-2891.7124767164682</c:v>
                </c:pt>
                <c:pt idx="10">
                  <c:v>-2899.427206202324</c:v>
                </c:pt>
                <c:pt idx="11">
                  <c:v>-2905.547472938327</c:v>
                </c:pt>
                <c:pt idx="12">
                  <c:v>-2909.9476606099397</c:v>
                </c:pt>
                <c:pt idx="13">
                  <c:v>-2912.495382267133</c:v>
                </c:pt>
                <c:pt idx="14">
                  <c:v>-2913.052260475387</c:v>
                </c:pt>
                <c:pt idx="15">
                  <c:v>-2911.4747549458243</c:v>
                </c:pt>
                <c:pt idx="16">
                  <c:v>-2907.6150334253643</c:v>
                </c:pt>
                <c:pt idx="17">
                  <c:v>-2901.321881394958</c:v>
                </c:pt>
                <c:pt idx="18">
                  <c:v>-2892.4416459131176</c:v>
                </c:pt>
                <c:pt idx="19">
                  <c:v>-2880.81920875405</c:v>
                </c:pt>
                <c:pt idx="20">
                  <c:v>-2866.298983825771</c:v>
                </c:pt>
                <c:pt idx="21">
                  <c:v>-2848.7259337144183</c:v>
                </c:pt>
                <c:pt idx="22">
                  <c:v>-2827.9466000872603</c:v>
                </c:pt>
                <c:pt idx="23">
                  <c:v>-2803.810142599241</c:v>
                </c:pt>
                <c:pt idx="24">
                  <c:v>-2776.1693808867426</c:v>
                </c:pt>
                <c:pt idx="25">
                  <c:v>-2744.88183419791</c:v>
                </c:pt>
                <c:pt idx="26">
                  <c:v>-2709.8107532015338</c:v>
                </c:pt>
                <c:pt idx="27">
                  <c:v>-2670.8261385362557</c:v>
                </c:pt>
                <c:pt idx="28">
                  <c:v>-2627.805740708561</c:v>
                </c:pt>
                <c:pt idx="29">
                  <c:v>-2580.636036021585</c:v>
                </c:pt>
                <c:pt idx="30">
                  <c:v>-2529.213173316705</c:v>
                </c:pt>
                <c:pt idx="31">
                  <c:v>-2473.4438864358617</c:v>
                </c:pt>
                <c:pt idx="32">
                  <c:v>-2413.24636746395</c:v>
                </c:pt>
                <c:pt idx="33">
                  <c:v>-2348.551095986556</c:v>
                </c:pt>
                <c:pt idx="34">
                  <c:v>-2279.3016197983084</c:v>
                </c:pt>
                <c:pt idx="35">
                  <c:v>-2205.4552827197285</c:v>
                </c:pt>
                <c:pt idx="36">
                  <c:v>-2126.9838954251154</c:v>
                </c:pt>
                <c:pt idx="37">
                  <c:v>-2043.8743454491448</c:v>
                </c:pt>
                <c:pt idx="38">
                  <c:v>-1956.1291428243953</c:v>
                </c:pt>
                <c:pt idx="39">
                  <c:v>-1863.7668981045877</c:v>
                </c:pt>
                <c:pt idx="40">
                  <c:v>-1766.8227298473494</c:v>
                </c:pt>
                <c:pt idx="41">
                  <c:v>-1665.3485989643832</c:v>
                </c:pt>
                <c:pt idx="42">
                  <c:v>-1559.4135676942853</c:v>
                </c:pt>
                <c:pt idx="43">
                  <c:v>-1449.1039813124016</c:v>
                </c:pt>
                <c:pt idx="44">
                  <c:v>-1334.5235710611428</c:v>
                </c:pt>
                <c:pt idx="45">
                  <c:v>-1215.7934771613473</c:v>
                </c:pt>
                <c:pt idx="46">
                  <c:v>-1093.0521911488645</c:v>
                </c:pt>
                <c:pt idx="47">
                  <c:v>-966.4554171684598</c:v>
                </c:pt>
                <c:pt idx="48">
                  <c:v>-836.175852247777</c:v>
                </c:pt>
                <c:pt idx="49">
                  <c:v>-702.4028859653471</c:v>
                </c:pt>
                <c:pt idx="50">
                  <c:v>-565.3422203166594</c:v>
                </c:pt>
                <c:pt idx="51">
                  <c:v>-425.21541096922255</c:v>
                </c:pt>
                <c:pt idx="52">
                  <c:v>-282.25933147955914</c:v>
                </c:pt>
                <c:pt idx="53">
                  <c:v>-136.7255624200816</c:v>
                </c:pt>
                <c:pt idx="54">
                  <c:v>11.120292269800359</c:v>
                </c:pt>
                <c:pt idx="55">
                  <c:v>160.9993590380363</c:v>
                </c:pt>
                <c:pt idx="56">
                  <c:v>312.6203155657189</c:v>
                </c:pt>
                <c:pt idx="57">
                  <c:v>465.68027536046003</c:v>
                </c:pt>
                <c:pt idx="58">
                  <c:v>619.8657324391772</c:v>
                </c:pt>
                <c:pt idx="59">
                  <c:v>774.853562144745</c:v>
                </c:pt>
                <c:pt idx="60">
                  <c:v>930.3120738621565</c:v>
                </c:pt>
                <c:pt idx="61">
                  <c:v>1085.902111140849</c:v>
                </c:pt>
                <c:pt idx="62">
                  <c:v>1241.2781944920353</c:v>
                </c:pt>
                <c:pt idx="63">
                  <c:v>1396.0897019141562</c:v>
                </c:pt>
                <c:pt idx="64">
                  <c:v>1549.9820820074656</c:v>
                </c:pt>
                <c:pt idx="65">
                  <c:v>1702.5980943707561</c:v>
                </c:pt>
                <c:pt idx="66">
                  <c:v>1853.5790718303929</c:v>
                </c:pt>
                <c:pt idx="67">
                  <c:v>2002.566198934808</c:v>
                </c:pt>
                <c:pt idx="68">
                  <c:v>2149.201801057065</c:v>
                </c:pt>
                <c:pt idx="69">
                  <c:v>2293.130638384327</c:v>
                </c:pt>
                <c:pt idx="70">
                  <c:v>2434.0011990365765</c:v>
                </c:pt>
                <c:pt idx="71">
                  <c:v>2571.4669855477355</c:v>
                </c:pt>
                <c:pt idx="72">
                  <c:v>2705.187788960658</c:v>
                </c:pt>
                <c:pt idx="73">
                  <c:v>2834.830944833125</c:v>
                </c:pt>
                <c:pt idx="74">
                  <c:v>2960.0725655248734</c:v>
                </c:pt>
                <c:pt idx="75">
                  <c:v>3080.5987432352367</c:v>
                </c:pt>
                <c:pt idx="76">
                  <c:v>3196.106718387129</c:v>
                </c:pt>
                <c:pt idx="77">
                  <c:v>3306.306008104894</c:v>
                </c:pt>
                <c:pt idx="78">
                  <c:v>3410.919489710347</c:v>
                </c:pt>
                <c:pt idx="79">
                  <c:v>3509.684434362498</c:v>
                </c:pt>
                <c:pt idx="80">
                  <c:v>3602.3534861907156</c:v>
                </c:pt>
                <c:pt idx="81">
                  <c:v>3688.695582517644</c:v>
                </c:pt>
                <c:pt idx="82">
                  <c:v>3768.496811035736</c:v>
                </c:pt>
                <c:pt idx="83">
                  <c:v>3841.561200088458</c:v>
                </c:pt>
                <c:pt idx="84">
                  <c:v>3907.711438512888</c:v>
                </c:pt>
                <c:pt idx="85">
                  <c:v>3966.7895218229223</c:v>
                </c:pt>
                <c:pt idx="86">
                  <c:v>4018.6573218501135</c:v>
                </c:pt>
                <c:pt idx="87">
                  <c:v>4063.1970773107546</c:v>
                </c:pt>
                <c:pt idx="88">
                  <c:v>4100.311803131424</c:v>
                </c:pt>
                <c:pt idx="89">
                  <c:v>4129.92561673909</c:v>
                </c:pt>
                <c:pt idx="90">
                  <c:v>4151.983979904239</c:v>
                </c:pt>
                <c:pt idx="91">
                  <c:v>4166.453855114584</c:v>
                </c:pt>
                <c:pt idx="92">
                  <c:v>4173.323775850696</c:v>
                </c:pt>
                <c:pt idx="93">
                  <c:v>4172.603830531678</c:v>
                </c:pt>
                <c:pt idx="94">
                  <c:v>4164.325560296707</c:v>
                </c:pt>
                <c:pt idx="95">
                  <c:v>4148.541771185111</c:v>
                </c:pt>
                <c:pt idx="96">
                  <c:v>4125.326261671612</c:v>
                </c:pt>
                <c:pt idx="97">
                  <c:v>4094.773466902691</c:v>
                </c:pt>
                <c:pt idx="98">
                  <c:v>4056.998021362727</c:v>
                </c:pt>
                <c:pt idx="99">
                  <c:v>4012.1342420728124</c:v>
                </c:pt>
                <c:pt idx="100">
                  <c:v>3960.3355347892975</c:v>
                </c:pt>
                <c:pt idx="101">
                  <c:v>3901.7737260211875</c:v>
                </c:pt>
                <c:pt idx="102">
                  <c:v>3836.638324023981</c:v>
                </c:pt>
                <c:pt idx="103">
                  <c:v>3765.13571225082</c:v>
                </c:pt>
                <c:pt idx="104">
                  <c:v>3687.4882790481465</c:v>
                </c:pt>
                <c:pt idx="105">
                  <c:v>3603.9334876712073</c:v>
                </c:pt>
                <c:pt idx="106">
                  <c:v>3514.722890963237</c:v>
                </c:pt>
                <c:pt idx="107">
                  <c:v>3420.1210952896677</c:v>
                </c:pt>
                <c:pt idx="108">
                  <c:v>3320.4046785440787</c:v>
                </c:pt>
                <c:pt idx="109">
                  <c:v>3215.8610672449845</c:v>
                </c:pt>
                <c:pt idx="110">
                  <c:v>3106.7873779203996</c:v>
                </c:pt>
                <c:pt idx="111">
                  <c:v>2993.4892281305183</c:v>
                </c:pt>
                <c:pt idx="112">
                  <c:v>2876.2795226059957</c:v>
                </c:pt>
                <c:pt idx="113">
                  <c:v>2755.4772200805073</c:v>
                </c:pt>
                <c:pt idx="114">
                  <c:v>2631.406086470645</c:v>
                </c:pt>
                <c:pt idx="115">
                  <c:v>2504.3934401032825</c:v>
                </c:pt>
                <c:pt idx="116">
                  <c:v>2374.768894710601</c:v>
                </c:pt>
                <c:pt idx="117">
                  <c:v>2242.8631059052955</c:v>
                </c:pt>
                <c:pt idx="118">
                  <c:v>2109.0065268138515</c:v>
                </c:pt>
                <c:pt idx="119">
                  <c:v>1973.5281784837132</c:v>
                </c:pt>
                <c:pt idx="120">
                  <c:v>1836.7544405913218</c:v>
                </c:pt>
                <c:pt idx="121">
                  <c:v>1699.0078678631037</c:v>
                </c:pt>
                <c:pt idx="122">
                  <c:v>1560.6060374802646</c:v>
                </c:pt>
                <c:pt idx="123">
                  <c:v>1421.8604325725155</c:v>
                </c:pt>
                <c:pt idx="124">
                  <c:v>1283.0753667154486</c:v>
                </c:pt>
                <c:pt idx="125">
                  <c:v>1144.546954132756</c:v>
                </c:pt>
                <c:pt idx="126">
                  <c:v>1006.5621300687721</c:v>
                </c:pt>
                <c:pt idx="127">
                  <c:v>869.3977255398477</c:v>
                </c:pt>
                <c:pt idx="128">
                  <c:v>733.3196003963646</c:v>
                </c:pt>
                <c:pt idx="129">
                  <c:v>598.5818383321395</c:v>
                </c:pt>
                <c:pt idx="130">
                  <c:v>465.42600716574697</c:v>
                </c:pt>
                <c:pt idx="131">
                  <c:v>334.080487390587</c:v>
                </c:pt>
                <c:pt idx="132">
                  <c:v>204.75987164928114</c:v>
                </c:pt>
                <c:pt idx="133">
                  <c:v>77.66443743400725</c:v>
                </c:pt>
                <c:pt idx="134">
                  <c:v>-47.02030504949073</c:v>
                </c:pt>
                <c:pt idx="135">
                  <c:v>-169.12398828941275</c:v>
                </c:pt>
                <c:pt idx="136">
                  <c:v>-288.49168496176287</c:v>
                </c:pt>
                <c:pt idx="137">
                  <c:v>-404.98412670993184</c:v>
                </c:pt>
                <c:pt idx="138">
                  <c:v>-518.4778437972273</c:v>
                </c:pt>
                <c:pt idx="139">
                  <c:v>-628.8652256084459</c:v>
                </c:pt>
                <c:pt idx="140">
                  <c:v>-736.0545023649433</c:v>
                </c:pt>
                <c:pt idx="141">
                  <c:v>-839.9696488032288</c:v>
                </c:pt>
                <c:pt idx="142">
                  <c:v>-940.5502109484785</c:v>
                </c:pt>
                <c:pt idx="143">
                  <c:v>-1037.7510574892176</c:v>
                </c:pt>
                <c:pt idx="144">
                  <c:v>-1131.542057626145</c:v>
                </c:pt>
                <c:pt idx="145">
                  <c:v>-1221.907687625011</c:v>
                </c:pt>
                <c:pt idx="146">
                  <c:v>-1308.8465686485774</c:v>
                </c:pt>
                <c:pt idx="147">
                  <c:v>-1392.370938774499</c:v>
                </c:pt>
                <c:pt idx="148">
                  <c:v>-1472.5060624228636</c:v>
                </c:pt>
                <c:pt idx="149">
                  <c:v>-1549.2895807175041</c:v>
                </c:pt>
                <c:pt idx="150">
                  <c:v>-1622.7708065875338</c:v>
                </c:pt>
                <c:pt idx="151">
                  <c:v>-1693.0099686787237</c:v>
                </c:pt>
                <c:pt idx="152">
                  <c:v>-1760.0774083867473</c:v>
                </c:pt>
                <c:pt idx="153">
                  <c:v>-1824.052734545121</c:v>
                </c:pt>
                <c:pt idx="154">
                  <c:v>-1885.0239404983988</c:v>
                </c:pt>
                <c:pt idx="155">
                  <c:v>-1943.0864884653831</c:v>
                </c:pt>
                <c:pt idx="156">
                  <c:v>-1998.342366246497</c:v>
                </c:pt>
                <c:pt idx="157">
                  <c:v>-2050.899121453546</c:v>
                </c:pt>
                <c:pt idx="158">
                  <c:v>-2100.868878538331</c:v>
                </c:pt>
                <c:pt idx="159">
                  <c:v>-2148.3673439682243</c:v>
                </c:pt>
                <c:pt idx="160">
                  <c:v>-2193.5128049419473</c:v>
                </c:pt>
                <c:pt idx="161">
                  <c:v>-2236.425127056803</c:v>
                </c:pt>
                <c:pt idx="162">
                  <c:v>-2277.224756329694</c:v>
                </c:pt>
                <c:pt idx="163">
                  <c:v>-2316.031730938418</c:v>
                </c:pt>
                <c:pt idx="164">
                  <c:v>-2352.964707987005</c:v>
                </c:pt>
                <c:pt idx="165">
                  <c:v>-2388.1400105098587</c:v>
                </c:pt>
                <c:pt idx="166">
                  <c:v>-2421.670699814371</c:v>
                </c:pt>
                <c:pt idx="167">
                  <c:v>-2453.6656781212055</c:v>
                </c:pt>
                <c:pt idx="168">
                  <c:v>-2484.2288262963057</c:v>
                </c:pt>
                <c:pt idx="169">
                  <c:v>-2513.458181279637</c:v>
                </c:pt>
                <c:pt idx="170">
                  <c:v>-2541.4451576037413</c:v>
                </c:pt>
                <c:pt idx="171">
                  <c:v>-2568.2738171613</c:v>
                </c:pt>
                <c:pt idx="172">
                  <c:v>-2594.020191126438</c:v>
                </c:pt>
                <c:pt idx="173">
                  <c:v>-2618.7516576604235</c:v>
                </c:pt>
                <c:pt idx="174">
                  <c:v>-2642.526378740443</c:v>
                </c:pt>
                <c:pt idx="175">
                  <c:v>-2665.39279914132</c:v>
                </c:pt>
                <c:pt idx="176">
                  <c:v>-2687.3892102763175</c:v>
                </c:pt>
                <c:pt idx="177">
                  <c:v>-2708.5433812657493</c:v>
                </c:pt>
                <c:pt idx="178">
                  <c:v>-2728.872259253028</c:v>
                </c:pt>
                <c:pt idx="179">
                  <c:v>-2748.3817406284593</c:v>
                </c:pt>
                <c:pt idx="180">
                  <c:v>-2767.066514453479</c:v>
                </c:pt>
              </c:numCache>
            </c:numRef>
          </c:yVal>
        </c:ser>
        <c:ser>
          <c:idx val="2"/>
          <c:order val="2"/>
          <c:tx>
            <c:v>Fx4_Glob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3"/>
              </a:solidFill>
              <a:ln xmlns:a="http://schemas.openxmlformats.org/drawingml/2006/main" cmpd="sng">
                <a:solidFill>
                  <a:schemeClr val="accent3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Feuil1!$Y$32:$Y$212</c:f>
              <c:numCache>
                <c:formatCode>0.000</c:formatCode>
                <c:ptCount val="181"/>
                <c:pt idx="0">
                  <c:v>-4151.983979904239</c:v>
                </c:pt>
                <c:pt idx="1">
                  <c:v>-4129.92561673909</c:v>
                </c:pt>
                <c:pt idx="2">
                  <c:v>-4100.311803131423</c:v>
                </c:pt>
                <c:pt idx="3">
                  <c:v>-4063.1970773107546</c:v>
                </c:pt>
                <c:pt idx="4">
                  <c:v>-4018.6573218501135</c:v>
                </c:pt>
                <c:pt idx="5">
                  <c:v>-3966.789521822923</c:v>
                </c:pt>
                <c:pt idx="6">
                  <c:v>-3907.7114385128884</c:v>
                </c:pt>
                <c:pt idx="7">
                  <c:v>-3841.561200088459</c:v>
                </c:pt>
                <c:pt idx="8">
                  <c:v>-3768.4968110357377</c:v>
                </c:pt>
                <c:pt idx="9">
                  <c:v>-3688.6955825176447</c:v>
                </c:pt>
                <c:pt idx="10">
                  <c:v>-3602.3534861907156</c:v>
                </c:pt>
                <c:pt idx="11">
                  <c:v>-3509.684434362499</c:v>
                </c:pt>
                <c:pt idx="12">
                  <c:v>-3410.919489710346</c:v>
                </c:pt>
                <c:pt idx="13">
                  <c:v>-3306.306008104893</c:v>
                </c:pt>
                <c:pt idx="14">
                  <c:v>-3196.1067183871296</c:v>
                </c:pt>
                <c:pt idx="15">
                  <c:v>-3080.598743235239</c:v>
                </c:pt>
                <c:pt idx="16">
                  <c:v>-2960.072565524877</c:v>
                </c:pt>
                <c:pt idx="17">
                  <c:v>-2834.8309448331265</c:v>
                </c:pt>
                <c:pt idx="18">
                  <c:v>-2705.1877889606585</c:v>
                </c:pt>
                <c:pt idx="19">
                  <c:v>-2571.4669855477387</c:v>
                </c:pt>
                <c:pt idx="20">
                  <c:v>-2434.001199036578</c:v>
                </c:pt>
                <c:pt idx="21">
                  <c:v>-2293.130638384327</c:v>
                </c:pt>
                <c:pt idx="22">
                  <c:v>-2149.201801057067</c:v>
                </c:pt>
                <c:pt idx="23">
                  <c:v>-2002.566198934812</c:v>
                </c:pt>
                <c:pt idx="24">
                  <c:v>-1853.5790718303956</c:v>
                </c:pt>
                <c:pt idx="25">
                  <c:v>-1702.5980943707566</c:v>
                </c:pt>
                <c:pt idx="26">
                  <c:v>-1549.982082007464</c:v>
                </c:pt>
                <c:pt idx="27">
                  <c:v>-1396.0897019141576</c:v>
                </c:pt>
                <c:pt idx="28">
                  <c:v>-1241.2781944920384</c:v>
                </c:pt>
                <c:pt idx="29">
                  <c:v>-1085.90211114085</c:v>
                </c:pt>
                <c:pt idx="30">
                  <c:v>-930.3120738621565</c:v>
                </c:pt>
                <c:pt idx="31">
                  <c:v>-774.853562144747</c:v>
                </c:pt>
                <c:pt idx="32">
                  <c:v>-619.8657324391772</c:v>
                </c:pt>
                <c:pt idx="33">
                  <c:v>-465.68027536045855</c:v>
                </c:pt>
                <c:pt idx="34">
                  <c:v>-312.620315565719</c:v>
                </c:pt>
                <c:pt idx="35">
                  <c:v>-160.99935903803936</c:v>
                </c:pt>
                <c:pt idx="36">
                  <c:v>-11.120292269801496</c:v>
                </c:pt>
                <c:pt idx="37">
                  <c:v>136.72556242008278</c:v>
                </c:pt>
                <c:pt idx="38">
                  <c:v>282.2593314795571</c:v>
                </c:pt>
                <c:pt idx="39">
                  <c:v>425.2154109692188</c:v>
                </c:pt>
                <c:pt idx="40">
                  <c:v>565.3422203166577</c:v>
                </c:pt>
                <c:pt idx="41">
                  <c:v>702.4028859653461</c:v>
                </c:pt>
                <c:pt idx="42">
                  <c:v>836.1758522477754</c:v>
                </c:pt>
                <c:pt idx="43">
                  <c:v>966.4554171684588</c:v>
                </c:pt>
                <c:pt idx="44">
                  <c:v>1093.052191148865</c:v>
                </c:pt>
                <c:pt idx="45">
                  <c:v>1215.7934771613463</c:v>
                </c:pt>
                <c:pt idx="46">
                  <c:v>1334.5235710611396</c:v>
                </c:pt>
                <c:pt idx="47">
                  <c:v>1449.1039813124007</c:v>
                </c:pt>
                <c:pt idx="48">
                  <c:v>1559.4135676942853</c:v>
                </c:pt>
                <c:pt idx="49">
                  <c:v>1665.3485989643846</c:v>
                </c:pt>
                <c:pt idx="50">
                  <c:v>1766.8227298473491</c:v>
                </c:pt>
                <c:pt idx="51">
                  <c:v>1863.7668981045856</c:v>
                </c:pt>
                <c:pt idx="52">
                  <c:v>1956.1291428243953</c:v>
                </c:pt>
                <c:pt idx="53">
                  <c:v>2043.874345449145</c:v>
                </c:pt>
                <c:pt idx="54">
                  <c:v>2126.983895425115</c:v>
                </c:pt>
                <c:pt idx="55">
                  <c:v>2205.455282719727</c:v>
                </c:pt>
                <c:pt idx="56">
                  <c:v>2279.3016197983084</c:v>
                </c:pt>
                <c:pt idx="57">
                  <c:v>2348.551095986556</c:v>
                </c:pt>
                <c:pt idx="58">
                  <c:v>2413.2463674639494</c:v>
                </c:pt>
                <c:pt idx="59">
                  <c:v>2473.443886435861</c:v>
                </c:pt>
                <c:pt idx="60">
                  <c:v>2529.213173316703</c:v>
                </c:pt>
                <c:pt idx="61">
                  <c:v>2580.6360360215845</c:v>
                </c:pt>
                <c:pt idx="62">
                  <c:v>2627.8057407085603</c:v>
                </c:pt>
                <c:pt idx="63">
                  <c:v>2670.826138536255</c:v>
                </c:pt>
                <c:pt idx="64">
                  <c:v>2709.8107532015338</c:v>
                </c:pt>
                <c:pt idx="65">
                  <c:v>2744.8818341979104</c:v>
                </c:pt>
                <c:pt idx="66">
                  <c:v>2776.169380886743</c:v>
                </c:pt>
                <c:pt idx="67">
                  <c:v>2803.8101425992404</c:v>
                </c:pt>
                <c:pt idx="68">
                  <c:v>2827.94660008726</c:v>
                </c:pt>
                <c:pt idx="69">
                  <c:v>2848.725933714418</c:v>
                </c:pt>
                <c:pt idx="70">
                  <c:v>2866.298983825771</c:v>
                </c:pt>
                <c:pt idx="71">
                  <c:v>2880.81920875405</c:v>
                </c:pt>
                <c:pt idx="72">
                  <c:v>2892.441645913117</c:v>
                </c:pt>
                <c:pt idx="73">
                  <c:v>2901.321881394957</c:v>
                </c:pt>
                <c:pt idx="74">
                  <c:v>2907.6150334253643</c:v>
                </c:pt>
                <c:pt idx="75">
                  <c:v>2911.4747549458243</c:v>
                </c:pt>
                <c:pt idx="76">
                  <c:v>2913.0522604753864</c:v>
                </c:pt>
                <c:pt idx="77">
                  <c:v>2912.4953822671328</c:v>
                </c:pt>
                <c:pt idx="78">
                  <c:v>2909.9476606099397</c:v>
                </c:pt>
                <c:pt idx="79">
                  <c:v>2905.547472938327</c:v>
                </c:pt>
                <c:pt idx="80">
                  <c:v>2899.4272062023238</c:v>
                </c:pt>
                <c:pt idx="81">
                  <c:v>2891.712476716468</c:v>
                </c:pt>
                <c:pt idx="82">
                  <c:v>2882.5214014534267</c:v>
                </c:pt>
                <c:pt idx="83">
                  <c:v>2871.9639244746572</c:v>
                </c:pt>
                <c:pt idx="84">
                  <c:v>2860.141201899166</c:v>
                </c:pt>
                <c:pt idx="85">
                  <c:v>2847.145048503509</c:v>
                </c:pt>
                <c:pt idx="86">
                  <c:v>2833.0574487229114</c:v>
                </c:pt>
                <c:pt idx="87">
                  <c:v>2817.9501344866735</c:v>
                </c:pt>
                <c:pt idx="88">
                  <c:v>2801.8842319723008</c:v>
                </c:pt>
                <c:pt idx="89">
                  <c:v>2784.9099790039536</c:v>
                </c:pt>
                <c:pt idx="90">
                  <c:v>2767.066514453479</c:v>
                </c:pt>
                <c:pt idx="91">
                  <c:v>2748.3817406284593</c:v>
                </c:pt>
                <c:pt idx="92">
                  <c:v>2728.8722592530294</c:v>
                </c:pt>
                <c:pt idx="93">
                  <c:v>2708.54338126575</c:v>
                </c:pt>
                <c:pt idx="94">
                  <c:v>2687.389210276317</c:v>
                </c:pt>
                <c:pt idx="95">
                  <c:v>2665.39279914132</c:v>
                </c:pt>
                <c:pt idx="96">
                  <c:v>2642.526378740443</c:v>
                </c:pt>
                <c:pt idx="97">
                  <c:v>2618.751657660424</c:v>
                </c:pt>
                <c:pt idx="98">
                  <c:v>2594.0201911264376</c:v>
                </c:pt>
                <c:pt idx="99">
                  <c:v>2568.2738171613005</c:v>
                </c:pt>
                <c:pt idx="100">
                  <c:v>2541.4451576037413</c:v>
                </c:pt>
                <c:pt idx="101">
                  <c:v>2513.4581812796378</c:v>
                </c:pt>
                <c:pt idx="102">
                  <c:v>2484.2288262963066</c:v>
                </c:pt>
                <c:pt idx="103">
                  <c:v>2453.665678121207</c:v>
                </c:pt>
                <c:pt idx="104">
                  <c:v>2421.670699814371</c:v>
                </c:pt>
                <c:pt idx="105">
                  <c:v>2388.1400105098583</c:v>
                </c:pt>
                <c:pt idx="106">
                  <c:v>2352.9647079870047</c:v>
                </c:pt>
                <c:pt idx="107">
                  <c:v>2316.031730938419</c:v>
                </c:pt>
                <c:pt idx="108">
                  <c:v>2277.2247563296946</c:v>
                </c:pt>
                <c:pt idx="109">
                  <c:v>2236.425127056804</c:v>
                </c:pt>
                <c:pt idx="110">
                  <c:v>2193.512804941949</c:v>
                </c:pt>
                <c:pt idx="111">
                  <c:v>2148.3673439682257</c:v>
                </c:pt>
                <c:pt idx="112">
                  <c:v>2100.8688785383315</c:v>
                </c:pt>
                <c:pt idx="113">
                  <c:v>2050.899121453547</c:v>
                </c:pt>
                <c:pt idx="114">
                  <c:v>1998.342366246497</c:v>
                </c:pt>
                <c:pt idx="115">
                  <c:v>1943.086488465385</c:v>
                </c:pt>
                <c:pt idx="116">
                  <c:v>1885.0239404983995</c:v>
                </c:pt>
                <c:pt idx="117">
                  <c:v>1824.0527345451221</c:v>
                </c:pt>
                <c:pt idx="118">
                  <c:v>1760.0774083867477</c:v>
                </c:pt>
                <c:pt idx="119">
                  <c:v>1693.0099686787225</c:v>
                </c:pt>
                <c:pt idx="120">
                  <c:v>1622.7708065875372</c:v>
                </c:pt>
                <c:pt idx="121">
                  <c:v>1549.2895807175053</c:v>
                </c:pt>
                <c:pt idx="122">
                  <c:v>1472.5060624228645</c:v>
                </c:pt>
                <c:pt idx="123">
                  <c:v>1392.3709387744987</c:v>
                </c:pt>
                <c:pt idx="124">
                  <c:v>1308.8465686485806</c:v>
                </c:pt>
                <c:pt idx="125">
                  <c:v>1221.9076876250151</c:v>
                </c:pt>
                <c:pt idx="126">
                  <c:v>1131.5420576261458</c:v>
                </c:pt>
                <c:pt idx="127">
                  <c:v>1037.751057489217</c:v>
                </c:pt>
                <c:pt idx="128">
                  <c:v>940.5502109484773</c:v>
                </c:pt>
                <c:pt idx="129">
                  <c:v>839.9696488032279</c:v>
                </c:pt>
                <c:pt idx="130">
                  <c:v>736.0545023649447</c:v>
                </c:pt>
                <c:pt idx="131">
                  <c:v>628.8652256084475</c:v>
                </c:pt>
                <c:pt idx="132">
                  <c:v>518.4778437972288</c:v>
                </c:pt>
                <c:pt idx="133">
                  <c:v>404.9841267099365</c:v>
                </c:pt>
                <c:pt idx="134">
                  <c:v>288.49168496176765</c:v>
                </c:pt>
                <c:pt idx="135">
                  <c:v>169.12398828941446</c:v>
                </c:pt>
                <c:pt idx="136">
                  <c:v>47.02030504948925</c:v>
                </c:pt>
                <c:pt idx="137">
                  <c:v>-77.66443743400566</c:v>
                </c:pt>
                <c:pt idx="138">
                  <c:v>-204.7598716492795</c:v>
                </c:pt>
                <c:pt idx="139">
                  <c:v>-334.0804873905885</c:v>
                </c:pt>
                <c:pt idx="140">
                  <c:v>-465.42600716574515</c:v>
                </c:pt>
                <c:pt idx="141">
                  <c:v>-598.5818383321375</c:v>
                </c:pt>
                <c:pt idx="142">
                  <c:v>-733.3196003963592</c:v>
                </c:pt>
                <c:pt idx="143">
                  <c:v>-869.3977255398459</c:v>
                </c:pt>
                <c:pt idx="144">
                  <c:v>-1006.5621300687699</c:v>
                </c:pt>
                <c:pt idx="145">
                  <c:v>-1144.5469541327502</c:v>
                </c:pt>
                <c:pt idx="146">
                  <c:v>-1283.0753667154468</c:v>
                </c:pt>
                <c:pt idx="147">
                  <c:v>-1421.860432572517</c:v>
                </c:pt>
                <c:pt idx="148">
                  <c:v>-1560.6060374802626</c:v>
                </c:pt>
                <c:pt idx="149">
                  <c:v>-1699.0078678631016</c:v>
                </c:pt>
                <c:pt idx="150">
                  <c:v>-1836.754440591324</c:v>
                </c:pt>
                <c:pt idx="151">
                  <c:v>-1973.5281784837114</c:v>
                </c:pt>
                <c:pt idx="152">
                  <c:v>-2109.006526813849</c:v>
                </c:pt>
                <c:pt idx="153">
                  <c:v>-2242.86310590529</c:v>
                </c:pt>
                <c:pt idx="154">
                  <c:v>-2374.7688947105994</c:v>
                </c:pt>
                <c:pt idx="155">
                  <c:v>-2504.3934401032816</c:v>
                </c:pt>
                <c:pt idx="156">
                  <c:v>-2631.4060864706394</c:v>
                </c:pt>
                <c:pt idx="157">
                  <c:v>-2755.477220080503</c:v>
                </c:pt>
                <c:pt idx="158">
                  <c:v>-2876.279522605994</c:v>
                </c:pt>
                <c:pt idx="159">
                  <c:v>-2993.4892281305197</c:v>
                </c:pt>
                <c:pt idx="160">
                  <c:v>-3106.7873779203983</c:v>
                </c:pt>
                <c:pt idx="161">
                  <c:v>-3215.8610672449827</c:v>
                </c:pt>
                <c:pt idx="162">
                  <c:v>-3320.404678544081</c:v>
                </c:pt>
                <c:pt idx="163">
                  <c:v>-3420.121095289664</c:v>
                </c:pt>
                <c:pt idx="164">
                  <c:v>-3514.722890963234</c:v>
                </c:pt>
                <c:pt idx="165">
                  <c:v>-3603.9334876712037</c:v>
                </c:pt>
                <c:pt idx="166">
                  <c:v>-3687.488279048145</c:v>
                </c:pt>
                <c:pt idx="167">
                  <c:v>-3765.1357122508202</c:v>
                </c:pt>
                <c:pt idx="168">
                  <c:v>-3836.63832402398</c:v>
                </c:pt>
                <c:pt idx="169">
                  <c:v>-3901.773726021187</c:v>
                </c:pt>
                <c:pt idx="170">
                  <c:v>-3960.3355347892984</c:v>
                </c:pt>
                <c:pt idx="171">
                  <c:v>-4012.134242072812</c:v>
                </c:pt>
                <c:pt idx="172">
                  <c:v>-4056.998021362726</c:v>
                </c:pt>
                <c:pt idx="173">
                  <c:v>-4094.773466902692</c:v>
                </c:pt>
                <c:pt idx="174">
                  <c:v>-4125.326261671612</c:v>
                </c:pt>
                <c:pt idx="175">
                  <c:v>-4148.541771185111</c:v>
                </c:pt>
                <c:pt idx="176">
                  <c:v>-4164.325560296707</c:v>
                </c:pt>
                <c:pt idx="177">
                  <c:v>-4172.603830531678</c:v>
                </c:pt>
                <c:pt idx="178">
                  <c:v>-4173.323775850697</c:v>
                </c:pt>
                <c:pt idx="179">
                  <c:v>-4166.453855114585</c:v>
                </c:pt>
                <c:pt idx="180">
                  <c:v>-4151.983979904239</c:v>
                </c:pt>
              </c:numCache>
            </c:numRef>
          </c:yVal>
        </c:ser>
        <c:ser>
          <c:idx val="3"/>
          <c:order val="3"/>
          <c:tx>
            <c:v>Fx1_Glob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chemeClr val="accent4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Feuil1!$V$32:$V$212</c:f>
              <c:numCache>
                <c:formatCode>0.000</c:formatCode>
                <c:ptCount val="181"/>
                <c:pt idx="0">
                  <c:v>4151.983979904239</c:v>
                </c:pt>
                <c:pt idx="1">
                  <c:v>4166.453855114585</c:v>
                </c:pt>
                <c:pt idx="2">
                  <c:v>4173.323775850696</c:v>
                </c:pt>
                <c:pt idx="3">
                  <c:v>4172.603830531678</c:v>
                </c:pt>
                <c:pt idx="4">
                  <c:v>4164.325560296707</c:v>
                </c:pt>
                <c:pt idx="5">
                  <c:v>4148.541771185111</c:v>
                </c:pt>
                <c:pt idx="6">
                  <c:v>4125.326261671612</c:v>
                </c:pt>
                <c:pt idx="7">
                  <c:v>4094.7734669026927</c:v>
                </c:pt>
                <c:pt idx="8">
                  <c:v>4056.9980213627277</c:v>
                </c:pt>
                <c:pt idx="9">
                  <c:v>4012.1342420728115</c:v>
                </c:pt>
                <c:pt idx="10">
                  <c:v>3960.3355347892984</c:v>
                </c:pt>
                <c:pt idx="11">
                  <c:v>3901.773726021188</c:v>
                </c:pt>
                <c:pt idx="12">
                  <c:v>3836.63832402398</c:v>
                </c:pt>
                <c:pt idx="13">
                  <c:v>3765.1357122508193</c:v>
                </c:pt>
                <c:pt idx="14">
                  <c:v>3687.4882790481456</c:v>
                </c:pt>
                <c:pt idx="15">
                  <c:v>3603.933487671205</c:v>
                </c:pt>
                <c:pt idx="16">
                  <c:v>3514.7228909632368</c:v>
                </c:pt>
                <c:pt idx="17">
                  <c:v>3420.1210952896654</c:v>
                </c:pt>
                <c:pt idx="18">
                  <c:v>3320.4046785440814</c:v>
                </c:pt>
                <c:pt idx="19">
                  <c:v>3215.861067244986</c:v>
                </c:pt>
                <c:pt idx="20">
                  <c:v>3106.7873779203996</c:v>
                </c:pt>
                <c:pt idx="21">
                  <c:v>2993.4892281305197</c:v>
                </c:pt>
                <c:pt idx="22">
                  <c:v>2876.2795226059957</c:v>
                </c:pt>
                <c:pt idx="23">
                  <c:v>2755.4772200805064</c:v>
                </c:pt>
                <c:pt idx="24">
                  <c:v>2631.406086470641</c:v>
                </c:pt>
                <c:pt idx="25">
                  <c:v>2504.3934401032816</c:v>
                </c:pt>
                <c:pt idx="26">
                  <c:v>2374.7688947105985</c:v>
                </c:pt>
                <c:pt idx="27">
                  <c:v>2242.8631059052914</c:v>
                </c:pt>
                <c:pt idx="28">
                  <c:v>2109.006526813852</c:v>
                </c:pt>
                <c:pt idx="29">
                  <c:v>1973.5281784837123</c:v>
                </c:pt>
                <c:pt idx="30">
                  <c:v>1836.754440591324</c:v>
                </c:pt>
                <c:pt idx="31">
                  <c:v>1699.0078678631037</c:v>
                </c:pt>
                <c:pt idx="32">
                  <c:v>1560.6060374802626</c:v>
                </c:pt>
                <c:pt idx="33">
                  <c:v>1421.8604325725155</c:v>
                </c:pt>
                <c:pt idx="34">
                  <c:v>1283.075366715447</c:v>
                </c:pt>
                <c:pt idx="35">
                  <c:v>1144.5469541327532</c:v>
                </c:pt>
                <c:pt idx="36">
                  <c:v>1006.562130068771</c:v>
                </c:pt>
                <c:pt idx="37">
                  <c:v>869.3977255398449</c:v>
                </c:pt>
                <c:pt idx="38">
                  <c:v>733.319600396361</c:v>
                </c:pt>
                <c:pt idx="39">
                  <c:v>598.5818383321408</c:v>
                </c:pt>
                <c:pt idx="40">
                  <c:v>465.42600716574697</c:v>
                </c:pt>
                <c:pt idx="41">
                  <c:v>334.08048739058955</c:v>
                </c:pt>
                <c:pt idx="42">
                  <c:v>204.75987164928108</c:v>
                </c:pt>
                <c:pt idx="43">
                  <c:v>77.6644374340064</c:v>
                </c:pt>
                <c:pt idx="44">
                  <c:v>-47.02030504948982</c:v>
                </c:pt>
                <c:pt idx="45">
                  <c:v>-169.12398828941355</c:v>
                </c:pt>
                <c:pt idx="46">
                  <c:v>-288.49168496176446</c:v>
                </c:pt>
                <c:pt idx="47">
                  <c:v>-404.9841267099356</c:v>
                </c:pt>
                <c:pt idx="48">
                  <c:v>-518.4778437972288</c:v>
                </c:pt>
                <c:pt idx="49">
                  <c:v>-628.8652256084489</c:v>
                </c:pt>
                <c:pt idx="50">
                  <c:v>-736.0545023649445</c:v>
                </c:pt>
                <c:pt idx="51">
                  <c:v>-839.9696488032257</c:v>
                </c:pt>
                <c:pt idx="52">
                  <c:v>-940.5502109484773</c:v>
                </c:pt>
                <c:pt idx="53">
                  <c:v>-1037.7510574892171</c:v>
                </c:pt>
                <c:pt idx="54">
                  <c:v>-1131.5420576261454</c:v>
                </c:pt>
                <c:pt idx="55">
                  <c:v>-1221.9076876250133</c:v>
                </c:pt>
                <c:pt idx="56">
                  <c:v>-1308.8465686485802</c:v>
                </c:pt>
                <c:pt idx="57">
                  <c:v>-1392.3709387744987</c:v>
                </c:pt>
                <c:pt idx="58">
                  <c:v>-1472.506062422864</c:v>
                </c:pt>
                <c:pt idx="59">
                  <c:v>-1549.2895807175044</c:v>
                </c:pt>
                <c:pt idx="60">
                  <c:v>-1622.7708065875354</c:v>
                </c:pt>
                <c:pt idx="61">
                  <c:v>-1693.009968678722</c:v>
                </c:pt>
                <c:pt idx="62">
                  <c:v>-1760.0774083867468</c:v>
                </c:pt>
                <c:pt idx="63">
                  <c:v>-1824.052734545121</c:v>
                </c:pt>
                <c:pt idx="64">
                  <c:v>-1885.0239404983995</c:v>
                </c:pt>
                <c:pt idx="65">
                  <c:v>-1943.0864884653854</c:v>
                </c:pt>
                <c:pt idx="66">
                  <c:v>-1998.3423662464968</c:v>
                </c:pt>
                <c:pt idx="67">
                  <c:v>-2050.899121453546</c:v>
                </c:pt>
                <c:pt idx="68">
                  <c:v>-2100.868878538332</c:v>
                </c:pt>
                <c:pt idx="69">
                  <c:v>-2148.367343968225</c:v>
                </c:pt>
                <c:pt idx="70">
                  <c:v>-2193.512804941949</c:v>
                </c:pt>
                <c:pt idx="71">
                  <c:v>-2236.425127056803</c:v>
                </c:pt>
                <c:pt idx="72">
                  <c:v>-2277.224756329694</c:v>
                </c:pt>
                <c:pt idx="73">
                  <c:v>-2316.031730938418</c:v>
                </c:pt>
                <c:pt idx="74">
                  <c:v>-2352.9647079870047</c:v>
                </c:pt>
                <c:pt idx="75">
                  <c:v>-2388.1400105098583</c:v>
                </c:pt>
                <c:pt idx="76">
                  <c:v>-2421.6706998143704</c:v>
                </c:pt>
                <c:pt idx="77">
                  <c:v>-2453.6656781212064</c:v>
                </c:pt>
                <c:pt idx="78">
                  <c:v>-2484.2288262963057</c:v>
                </c:pt>
                <c:pt idx="79">
                  <c:v>-2513.4581812796378</c:v>
                </c:pt>
                <c:pt idx="80">
                  <c:v>-2541.445157603741</c:v>
                </c:pt>
                <c:pt idx="81">
                  <c:v>-2568.273817161301</c:v>
                </c:pt>
                <c:pt idx="82">
                  <c:v>-2594.0201911264367</c:v>
                </c:pt>
                <c:pt idx="83">
                  <c:v>-2618.7516576604235</c:v>
                </c:pt>
                <c:pt idx="84">
                  <c:v>-2642.526378740443</c:v>
                </c:pt>
                <c:pt idx="85">
                  <c:v>-2665.3927991413207</c:v>
                </c:pt>
                <c:pt idx="86">
                  <c:v>-2687.3892102763175</c:v>
                </c:pt>
                <c:pt idx="87">
                  <c:v>-2708.5433812657498</c:v>
                </c:pt>
                <c:pt idx="88">
                  <c:v>-2728.8722592530285</c:v>
                </c:pt>
                <c:pt idx="89">
                  <c:v>-2748.3817406284597</c:v>
                </c:pt>
                <c:pt idx="90">
                  <c:v>-2767.066514453479</c:v>
                </c:pt>
                <c:pt idx="91">
                  <c:v>-2784.909979003954</c:v>
                </c:pt>
                <c:pt idx="92">
                  <c:v>-2801.8842319723008</c:v>
                </c:pt>
                <c:pt idx="93">
                  <c:v>-2817.950134486673</c:v>
                </c:pt>
                <c:pt idx="94">
                  <c:v>-2833.057448722911</c:v>
                </c:pt>
                <c:pt idx="95">
                  <c:v>-2847.1450485035093</c:v>
                </c:pt>
                <c:pt idx="96">
                  <c:v>-2860.141201899166</c:v>
                </c:pt>
                <c:pt idx="97">
                  <c:v>-2871.963924474657</c:v>
                </c:pt>
                <c:pt idx="98">
                  <c:v>-2882.5214014534267</c:v>
                </c:pt>
                <c:pt idx="99">
                  <c:v>-2891.7124767164682</c:v>
                </c:pt>
                <c:pt idx="100">
                  <c:v>-2899.427206202324</c:v>
                </c:pt>
                <c:pt idx="101">
                  <c:v>-2905.547472938327</c:v>
                </c:pt>
                <c:pt idx="102">
                  <c:v>-2909.9476606099397</c:v>
                </c:pt>
                <c:pt idx="103">
                  <c:v>-2912.495382267133</c:v>
                </c:pt>
                <c:pt idx="104">
                  <c:v>-2913.052260475387</c:v>
                </c:pt>
                <c:pt idx="105">
                  <c:v>-2911.4747549458243</c:v>
                </c:pt>
                <c:pt idx="106">
                  <c:v>-2907.6150334253643</c:v>
                </c:pt>
                <c:pt idx="107">
                  <c:v>-2901.321881394958</c:v>
                </c:pt>
                <c:pt idx="108">
                  <c:v>-2892.4416459131176</c:v>
                </c:pt>
                <c:pt idx="109">
                  <c:v>-2880.81920875405</c:v>
                </c:pt>
                <c:pt idx="110">
                  <c:v>-2866.298983825771</c:v>
                </c:pt>
                <c:pt idx="111">
                  <c:v>-2848.7259337144183</c:v>
                </c:pt>
                <c:pt idx="112">
                  <c:v>-2827.9466000872603</c:v>
                </c:pt>
                <c:pt idx="113">
                  <c:v>-2803.810142599241</c:v>
                </c:pt>
                <c:pt idx="114">
                  <c:v>-2776.1693808867426</c:v>
                </c:pt>
                <c:pt idx="115">
                  <c:v>-2744.88183419791</c:v>
                </c:pt>
                <c:pt idx="116">
                  <c:v>-2709.8107532015338</c:v>
                </c:pt>
                <c:pt idx="117">
                  <c:v>-2670.8261385362557</c:v>
                </c:pt>
                <c:pt idx="118">
                  <c:v>-2627.805740708561</c:v>
                </c:pt>
                <c:pt idx="119">
                  <c:v>-2580.636036021585</c:v>
                </c:pt>
                <c:pt idx="120">
                  <c:v>-2529.213173316705</c:v>
                </c:pt>
                <c:pt idx="121">
                  <c:v>-2473.4438864358617</c:v>
                </c:pt>
                <c:pt idx="122">
                  <c:v>-2413.24636746395</c:v>
                </c:pt>
                <c:pt idx="123">
                  <c:v>-2348.551095986556</c:v>
                </c:pt>
                <c:pt idx="124">
                  <c:v>-2279.3016197983084</c:v>
                </c:pt>
                <c:pt idx="125">
                  <c:v>-2205.4552827197285</c:v>
                </c:pt>
                <c:pt idx="126">
                  <c:v>-2126.9838954251154</c:v>
                </c:pt>
                <c:pt idx="127">
                  <c:v>-2043.8743454491448</c:v>
                </c:pt>
                <c:pt idx="128">
                  <c:v>-1956.1291428243953</c:v>
                </c:pt>
                <c:pt idx="129">
                  <c:v>-1863.7668981045877</c:v>
                </c:pt>
                <c:pt idx="130">
                  <c:v>-1766.8227298473494</c:v>
                </c:pt>
                <c:pt idx="131">
                  <c:v>-1665.3485989643832</c:v>
                </c:pt>
                <c:pt idx="132">
                  <c:v>-1559.4135676942853</c:v>
                </c:pt>
                <c:pt idx="133">
                  <c:v>-1449.1039813124016</c:v>
                </c:pt>
                <c:pt idx="134">
                  <c:v>-1334.5235710611428</c:v>
                </c:pt>
                <c:pt idx="135">
                  <c:v>-1215.7934771613473</c:v>
                </c:pt>
                <c:pt idx="136">
                  <c:v>-1093.0521911488645</c:v>
                </c:pt>
                <c:pt idx="137">
                  <c:v>-966.4554171684598</c:v>
                </c:pt>
                <c:pt idx="138">
                  <c:v>-836.175852247777</c:v>
                </c:pt>
                <c:pt idx="139">
                  <c:v>-702.4028859653471</c:v>
                </c:pt>
                <c:pt idx="140">
                  <c:v>-565.3422203166594</c:v>
                </c:pt>
                <c:pt idx="141">
                  <c:v>-425.21541096922255</c:v>
                </c:pt>
                <c:pt idx="142">
                  <c:v>-282.25933147955914</c:v>
                </c:pt>
                <c:pt idx="143">
                  <c:v>-136.7255624200816</c:v>
                </c:pt>
                <c:pt idx="144">
                  <c:v>11.120292269800359</c:v>
                </c:pt>
                <c:pt idx="145">
                  <c:v>160.9993590380363</c:v>
                </c:pt>
                <c:pt idx="146">
                  <c:v>312.6203155657189</c:v>
                </c:pt>
                <c:pt idx="147">
                  <c:v>465.68027536046003</c:v>
                </c:pt>
                <c:pt idx="148">
                  <c:v>619.8657324391772</c:v>
                </c:pt>
                <c:pt idx="149">
                  <c:v>774.853562144745</c:v>
                </c:pt>
                <c:pt idx="150">
                  <c:v>930.3120738621565</c:v>
                </c:pt>
                <c:pt idx="151">
                  <c:v>1085.902111140849</c:v>
                </c:pt>
                <c:pt idx="152">
                  <c:v>1241.2781944920353</c:v>
                </c:pt>
                <c:pt idx="153">
                  <c:v>1396.0897019141562</c:v>
                </c:pt>
                <c:pt idx="154">
                  <c:v>1549.9820820074656</c:v>
                </c:pt>
                <c:pt idx="155">
                  <c:v>1702.5980943707561</c:v>
                </c:pt>
                <c:pt idx="156">
                  <c:v>1853.5790718303929</c:v>
                </c:pt>
                <c:pt idx="157">
                  <c:v>2002.566198934808</c:v>
                </c:pt>
                <c:pt idx="158">
                  <c:v>2149.201801057065</c:v>
                </c:pt>
                <c:pt idx="159">
                  <c:v>2293.130638384327</c:v>
                </c:pt>
                <c:pt idx="160">
                  <c:v>2434.0011990365765</c:v>
                </c:pt>
                <c:pt idx="161">
                  <c:v>2571.4669855477355</c:v>
                </c:pt>
                <c:pt idx="162">
                  <c:v>2705.187788960658</c:v>
                </c:pt>
                <c:pt idx="163">
                  <c:v>2834.830944833125</c:v>
                </c:pt>
                <c:pt idx="164">
                  <c:v>2960.0725655248734</c:v>
                </c:pt>
                <c:pt idx="165">
                  <c:v>3080.5987432352367</c:v>
                </c:pt>
                <c:pt idx="166">
                  <c:v>3196.106718387129</c:v>
                </c:pt>
                <c:pt idx="167">
                  <c:v>3306.306008104894</c:v>
                </c:pt>
                <c:pt idx="168">
                  <c:v>3410.919489710347</c:v>
                </c:pt>
                <c:pt idx="169">
                  <c:v>3509.684434362498</c:v>
                </c:pt>
                <c:pt idx="170">
                  <c:v>3602.3534861907156</c:v>
                </c:pt>
                <c:pt idx="171">
                  <c:v>3688.695582517644</c:v>
                </c:pt>
                <c:pt idx="172">
                  <c:v>3768.496811035736</c:v>
                </c:pt>
                <c:pt idx="173">
                  <c:v>3841.561200088458</c:v>
                </c:pt>
                <c:pt idx="174">
                  <c:v>3907.711438512888</c:v>
                </c:pt>
                <c:pt idx="175">
                  <c:v>3966.7895218229223</c:v>
                </c:pt>
                <c:pt idx="176">
                  <c:v>4018.6573218501135</c:v>
                </c:pt>
                <c:pt idx="177">
                  <c:v>4063.1970773107546</c:v>
                </c:pt>
                <c:pt idx="178">
                  <c:v>4100.311803131424</c:v>
                </c:pt>
                <c:pt idx="179">
                  <c:v>4129.92561673909</c:v>
                </c:pt>
                <c:pt idx="180">
                  <c:v>4151.983979904239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9760"/>
        <c:axId val="336041442"/>
      </c:scatterChart>
      <c:valAx>
        <c:axId val="33604144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Force en 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1339760"/>
        <c:crosses val="autoZero"/>
        <c:crossBetween val="midCat"/>
      </c:valAx>
      <c:valAx>
        <c:axId val="421339760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336041442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7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Tamis et Pilon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Tamis</c:v>
          </c:tx>
          <c:spPr>
            <a:ln xmlns:a="http://schemas.openxmlformats.org/drawingml/2006/main" w="12700">
              <a:solidFill>
                <a:srgbClr val="0070C0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Feuil1!$AE$32:$AE$212</c:f>
              <c:numCache>
                <c:formatCode>0.000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-6.252776074688882E-13</c:v>
                </c:pt>
                <c:pt idx="34">
                  <c:v>0</c:v>
                </c:pt>
                <c:pt idx="35">
                  <c:v>6.252776074688882E-13</c:v>
                </c:pt>
                <c:pt idx="36">
                  <c:v>-2.8421709430404007E-13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1.1368683772161603E-13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yVal>
        </c:ser>
        <c:ser>
          <c:idx val="1"/>
          <c:order val="1"/>
          <c:tx>
            <c:v>Pilon</c:v>
          </c:tx>
          <c:spPr>
            <a:ln xmlns:a="http://schemas.openxmlformats.org/drawingml/2006/main" w="15875">
              <a:solidFill>
                <a:schemeClr val="accent2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Feuil1!$AF$32:$AF$212</c:f>
              <c:numCache>
                <c:formatCode>0.000</c:formatCode>
                <c:ptCount val="181"/>
                <c:pt idx="0">
                  <c:v>1147.3031939141547</c:v>
                </c:pt>
                <c:pt idx="1">
                  <c:v>1144.5084209970373</c:v>
                </c:pt>
                <c:pt idx="2">
                  <c:v>1136.137718098405</c:v>
                </c:pt>
                <c:pt idx="3">
                  <c:v>1122.2318664413629</c:v>
                </c:pt>
                <c:pt idx="4">
                  <c:v>1102.8586139373706</c:v>
                </c:pt>
                <c:pt idx="5">
                  <c:v>1078.1123451252347</c:v>
                </c:pt>
                <c:pt idx="6">
                  <c:v>1048.1136213391237</c:v>
                </c:pt>
                <c:pt idx="7">
                  <c:v>1013.0085933458623</c:v>
                </c:pt>
                <c:pt idx="8">
                  <c:v>972.9682893130857</c:v>
                </c:pt>
                <c:pt idx="9">
                  <c:v>928.1877815772064</c:v>
                </c:pt>
                <c:pt idx="10">
                  <c:v>878.8852362705932</c:v>
                </c:pt>
                <c:pt idx="11">
                  <c:v>825.3008504381046</c:v>
                </c:pt>
                <c:pt idx="12">
                  <c:v>767.6956818212325</c:v>
                </c:pt>
                <c:pt idx="13">
                  <c:v>706.3503770110283</c:v>
                </c:pt>
                <c:pt idx="14">
                  <c:v>641.5638041661177</c:v>
                </c:pt>
                <c:pt idx="15">
                  <c:v>573.6515969570778</c:v>
                </c:pt>
                <c:pt idx="16">
                  <c:v>502.9446168309198</c:v>
                </c:pt>
                <c:pt idx="17">
                  <c:v>429.7873410873767</c:v>
                </c:pt>
                <c:pt idx="18">
                  <c:v>354.53618462012946</c:v>
                </c:pt>
                <c:pt idx="19">
                  <c:v>277.5577634992651</c:v>
                </c:pt>
                <c:pt idx="20">
                  <c:v>199.22710885464176</c:v>
                </c:pt>
                <c:pt idx="21">
                  <c:v>119.9258397619169</c:v>
                </c:pt>
                <c:pt idx="22">
                  <c:v>40.04030403277602</c:v>
                </c:pt>
                <c:pt idx="23">
                  <c:v>-40.04030403277602</c:v>
                </c:pt>
                <c:pt idx="24">
                  <c:v>-119.92583976191713</c:v>
                </c:pt>
                <c:pt idx="25">
                  <c:v>-199.2271088546413</c:v>
                </c:pt>
                <c:pt idx="26">
                  <c:v>-277.5577634992653</c:v>
                </c:pt>
                <c:pt idx="27">
                  <c:v>-354.53618462012946</c:v>
                </c:pt>
                <c:pt idx="28">
                  <c:v>-429.7873410873772</c:v>
                </c:pt>
                <c:pt idx="29">
                  <c:v>-502.9446168309196</c:v>
                </c:pt>
                <c:pt idx="30">
                  <c:v>-573.6515969570778</c:v>
                </c:pt>
                <c:pt idx="31">
                  <c:v>-641.5638041661173</c:v>
                </c:pt>
                <c:pt idx="32">
                  <c:v>-706.3503770110294</c:v>
                </c:pt>
                <c:pt idx="33">
                  <c:v>-767.6956818212332</c:v>
                </c:pt>
                <c:pt idx="34">
                  <c:v>-825.3008504381055</c:v>
                </c:pt>
                <c:pt idx="35">
                  <c:v>-878.8852362705943</c:v>
                </c:pt>
                <c:pt idx="36">
                  <c:v>-928.1877815772075</c:v>
                </c:pt>
                <c:pt idx="37">
                  <c:v>-972.9682893130855</c:v>
                </c:pt>
                <c:pt idx="38">
                  <c:v>-1013.0085933458606</c:v>
                </c:pt>
                <c:pt idx="39">
                  <c:v>-1048.1136213391248</c:v>
                </c:pt>
                <c:pt idx="40">
                  <c:v>-1078.1123451252354</c:v>
                </c:pt>
                <c:pt idx="41">
                  <c:v>-1102.8586139373685</c:v>
                </c:pt>
                <c:pt idx="42">
                  <c:v>-1122.2318664413624</c:v>
                </c:pt>
                <c:pt idx="43">
                  <c:v>-1136.1377180984061</c:v>
                </c:pt>
                <c:pt idx="44">
                  <c:v>-1144.5084209970378</c:v>
                </c:pt>
                <c:pt idx="45">
                  <c:v>-1147.3031939141554</c:v>
                </c:pt>
                <c:pt idx="46">
                  <c:v>-1144.5084209970353</c:v>
                </c:pt>
                <c:pt idx="47">
                  <c:v>-1136.1377180984057</c:v>
                </c:pt>
                <c:pt idx="48">
                  <c:v>-1122.2318664413638</c:v>
                </c:pt>
                <c:pt idx="49">
                  <c:v>-1102.8586139373701</c:v>
                </c:pt>
                <c:pt idx="50">
                  <c:v>-1078.112345125236</c:v>
                </c:pt>
                <c:pt idx="51">
                  <c:v>-1048.113621339126</c:v>
                </c:pt>
                <c:pt idx="52">
                  <c:v>-1013.0085933458621</c:v>
                </c:pt>
                <c:pt idx="53">
                  <c:v>-972.9682893130846</c:v>
                </c:pt>
                <c:pt idx="54">
                  <c:v>-928.1877815772076</c:v>
                </c:pt>
                <c:pt idx="55">
                  <c:v>-878.8852362705954</c:v>
                </c:pt>
                <c:pt idx="56">
                  <c:v>-825.3008504381052</c:v>
                </c:pt>
                <c:pt idx="57">
                  <c:v>-767.6956818212315</c:v>
                </c:pt>
                <c:pt idx="58">
                  <c:v>-706.3503770110289</c:v>
                </c:pt>
                <c:pt idx="59">
                  <c:v>-641.563804166118</c:v>
                </c:pt>
                <c:pt idx="60">
                  <c:v>-573.6515969570768</c:v>
                </c:pt>
                <c:pt idx="61">
                  <c:v>-502.9446168309199</c:v>
                </c:pt>
                <c:pt idx="62">
                  <c:v>-429.7873410873792</c:v>
                </c:pt>
                <c:pt idx="63">
                  <c:v>-354.5361846201305</c:v>
                </c:pt>
                <c:pt idx="64">
                  <c:v>-277.5577634992643</c:v>
                </c:pt>
                <c:pt idx="65">
                  <c:v>-199.2271088546422</c:v>
                </c:pt>
                <c:pt idx="66">
                  <c:v>-119.92583976191929</c:v>
                </c:pt>
                <c:pt idx="67">
                  <c:v>-40.04030403277852</c:v>
                </c:pt>
                <c:pt idx="68">
                  <c:v>40.04030403277466</c:v>
                </c:pt>
                <c:pt idx="69">
                  <c:v>119.92583976191725</c:v>
                </c:pt>
                <c:pt idx="70">
                  <c:v>199.22710885464096</c:v>
                </c:pt>
                <c:pt idx="71">
                  <c:v>277.5577634992635</c:v>
                </c:pt>
                <c:pt idx="72">
                  <c:v>354.53618462012946</c:v>
                </c:pt>
                <c:pt idx="73">
                  <c:v>429.7873410873758</c:v>
                </c:pt>
                <c:pt idx="74">
                  <c:v>502.94461683091674</c:v>
                </c:pt>
                <c:pt idx="75">
                  <c:v>573.651596957076</c:v>
                </c:pt>
                <c:pt idx="76">
                  <c:v>641.5638041661173</c:v>
                </c:pt>
                <c:pt idx="77">
                  <c:v>706.3503770110292</c:v>
                </c:pt>
                <c:pt idx="78">
                  <c:v>767.6956818212335</c:v>
                </c:pt>
                <c:pt idx="79">
                  <c:v>825.3008504381041</c:v>
                </c:pt>
                <c:pt idx="80">
                  <c:v>878.8852362705939</c:v>
                </c:pt>
                <c:pt idx="81">
                  <c:v>928.1877815772064</c:v>
                </c:pt>
                <c:pt idx="82">
                  <c:v>972.9682893130849</c:v>
                </c:pt>
                <c:pt idx="83">
                  <c:v>1013.0085933458613</c:v>
                </c:pt>
                <c:pt idx="84">
                  <c:v>1048.1136213391237</c:v>
                </c:pt>
                <c:pt idx="85">
                  <c:v>1078.1123451252347</c:v>
                </c:pt>
                <c:pt idx="86">
                  <c:v>1102.8586139373701</c:v>
                </c:pt>
                <c:pt idx="87">
                  <c:v>1122.2318664413629</c:v>
                </c:pt>
                <c:pt idx="88">
                  <c:v>1136.137718098406</c:v>
                </c:pt>
                <c:pt idx="89">
                  <c:v>1144.5084209970373</c:v>
                </c:pt>
                <c:pt idx="90">
                  <c:v>1147.3031939141547</c:v>
                </c:pt>
                <c:pt idx="91">
                  <c:v>1144.5084209970375</c:v>
                </c:pt>
                <c:pt idx="92">
                  <c:v>1136.137718098405</c:v>
                </c:pt>
                <c:pt idx="93">
                  <c:v>1122.2318664413629</c:v>
                </c:pt>
                <c:pt idx="94">
                  <c:v>1102.8586139373713</c:v>
                </c:pt>
                <c:pt idx="95">
                  <c:v>1078.1123451252356</c:v>
                </c:pt>
                <c:pt idx="96">
                  <c:v>1048.1136213391244</c:v>
                </c:pt>
                <c:pt idx="97">
                  <c:v>1013.0085933458608</c:v>
                </c:pt>
                <c:pt idx="98">
                  <c:v>972.9682893130853</c:v>
                </c:pt>
                <c:pt idx="99">
                  <c:v>928.1877815772073</c:v>
                </c:pt>
                <c:pt idx="100">
                  <c:v>878.8852362705929</c:v>
                </c:pt>
                <c:pt idx="101">
                  <c:v>825.3008504381046</c:v>
                </c:pt>
                <c:pt idx="102">
                  <c:v>767.6956818212338</c:v>
                </c:pt>
                <c:pt idx="103">
                  <c:v>706.3503770110287</c:v>
                </c:pt>
                <c:pt idx="104">
                  <c:v>641.5638041661193</c:v>
                </c:pt>
                <c:pt idx="105">
                  <c:v>573.6515969570798</c:v>
                </c:pt>
                <c:pt idx="106">
                  <c:v>502.9446168309207</c:v>
                </c:pt>
                <c:pt idx="107">
                  <c:v>429.78734108737854</c:v>
                </c:pt>
                <c:pt idx="108">
                  <c:v>354.53618462012673</c:v>
                </c:pt>
                <c:pt idx="109">
                  <c:v>277.55776349926396</c:v>
                </c:pt>
                <c:pt idx="110">
                  <c:v>199.22710885464198</c:v>
                </c:pt>
                <c:pt idx="111">
                  <c:v>119.925839761916</c:v>
                </c:pt>
                <c:pt idx="112">
                  <c:v>40.04030403277602</c:v>
                </c:pt>
                <c:pt idx="113">
                  <c:v>-40.04030403277511</c:v>
                </c:pt>
                <c:pt idx="114">
                  <c:v>-119.92583976191418</c:v>
                </c:pt>
                <c:pt idx="115">
                  <c:v>-199.22710885464085</c:v>
                </c:pt>
                <c:pt idx="116">
                  <c:v>-277.5577634992626</c:v>
                </c:pt>
                <c:pt idx="117">
                  <c:v>-354.5361846201263</c:v>
                </c:pt>
                <c:pt idx="118">
                  <c:v>-429.7873410873781</c:v>
                </c:pt>
                <c:pt idx="119">
                  <c:v>-502.9446168309182</c:v>
                </c:pt>
                <c:pt idx="120">
                  <c:v>-573.6515969570792</c:v>
                </c:pt>
                <c:pt idx="121">
                  <c:v>-641.5638041661173</c:v>
                </c:pt>
                <c:pt idx="122">
                  <c:v>-706.3503770110274</c:v>
                </c:pt>
                <c:pt idx="123">
                  <c:v>-767.6956818212327</c:v>
                </c:pt>
                <c:pt idx="124">
                  <c:v>-825.3008504381037</c:v>
                </c:pt>
                <c:pt idx="125">
                  <c:v>-878.885236270592</c:v>
                </c:pt>
                <c:pt idx="126">
                  <c:v>-928.1877815772061</c:v>
                </c:pt>
                <c:pt idx="127">
                  <c:v>-972.9682893130832</c:v>
                </c:pt>
                <c:pt idx="128">
                  <c:v>-1013.0085933458579</c:v>
                </c:pt>
                <c:pt idx="129">
                  <c:v>-1048.1136213391262</c:v>
                </c:pt>
                <c:pt idx="130">
                  <c:v>-1078.1123451252352</c:v>
                </c:pt>
                <c:pt idx="131">
                  <c:v>-1102.8586139373701</c:v>
                </c:pt>
                <c:pt idx="132">
                  <c:v>-1122.2318664413624</c:v>
                </c:pt>
                <c:pt idx="133">
                  <c:v>-1136.137718098405</c:v>
                </c:pt>
                <c:pt idx="134">
                  <c:v>-1144.5084209970387</c:v>
                </c:pt>
                <c:pt idx="135">
                  <c:v>-1147.3031939141542</c:v>
                </c:pt>
                <c:pt idx="136">
                  <c:v>-1144.5084209970341</c:v>
                </c:pt>
                <c:pt idx="137">
                  <c:v>-1136.1377180984025</c:v>
                </c:pt>
                <c:pt idx="138">
                  <c:v>-1122.2318664413622</c:v>
                </c:pt>
                <c:pt idx="139">
                  <c:v>-1102.8586139373679</c:v>
                </c:pt>
                <c:pt idx="140">
                  <c:v>-1078.1123451252352</c:v>
                </c:pt>
                <c:pt idx="141">
                  <c:v>-1048.1136213391287</c:v>
                </c:pt>
                <c:pt idx="142">
                  <c:v>-1013.0085933458636</c:v>
                </c:pt>
                <c:pt idx="143">
                  <c:v>-972.9682893130853</c:v>
                </c:pt>
                <c:pt idx="144">
                  <c:v>-928.1877815772073</c:v>
                </c:pt>
                <c:pt idx="145">
                  <c:v>-878.8852362705941</c:v>
                </c:pt>
                <c:pt idx="146">
                  <c:v>-825.3008504381028</c:v>
                </c:pt>
                <c:pt idx="147">
                  <c:v>-767.695681821232</c:v>
                </c:pt>
                <c:pt idx="148">
                  <c:v>-706.3503770110283</c:v>
                </c:pt>
                <c:pt idx="149">
                  <c:v>-641.5638041661182</c:v>
                </c:pt>
                <c:pt idx="150">
                  <c:v>-573.6515969570759</c:v>
                </c:pt>
                <c:pt idx="151">
                  <c:v>-502.94461683092106</c:v>
                </c:pt>
                <c:pt idx="152">
                  <c:v>-429.7873410873791</c:v>
                </c:pt>
                <c:pt idx="153">
                  <c:v>-354.53618462013014</c:v>
                </c:pt>
                <c:pt idx="154">
                  <c:v>-277.55776349926384</c:v>
                </c:pt>
                <c:pt idx="155">
                  <c:v>-199.22710885464085</c:v>
                </c:pt>
                <c:pt idx="156">
                  <c:v>-119.92583976191918</c:v>
                </c:pt>
                <c:pt idx="157">
                  <c:v>-40.04030403277852</c:v>
                </c:pt>
                <c:pt idx="158">
                  <c:v>40.04030403277534</c:v>
                </c:pt>
                <c:pt idx="159">
                  <c:v>119.92583976191759</c:v>
                </c:pt>
                <c:pt idx="160">
                  <c:v>199.22710885464176</c:v>
                </c:pt>
                <c:pt idx="161">
                  <c:v>277.5577634992634</c:v>
                </c:pt>
                <c:pt idx="162">
                  <c:v>354.53618462012946</c:v>
                </c:pt>
                <c:pt idx="163">
                  <c:v>429.7873410873758</c:v>
                </c:pt>
                <c:pt idx="164">
                  <c:v>502.94461683091663</c:v>
                </c:pt>
                <c:pt idx="165">
                  <c:v>573.6515969570755</c:v>
                </c:pt>
                <c:pt idx="166">
                  <c:v>641.5638041661174</c:v>
                </c:pt>
                <c:pt idx="167">
                  <c:v>706.350377011029</c:v>
                </c:pt>
                <c:pt idx="168">
                  <c:v>767.6956818212334</c:v>
                </c:pt>
                <c:pt idx="169">
                  <c:v>825.3008504381046</c:v>
                </c:pt>
                <c:pt idx="170">
                  <c:v>878.8852362705934</c:v>
                </c:pt>
                <c:pt idx="171">
                  <c:v>928.1877815772068</c:v>
                </c:pt>
                <c:pt idx="172">
                  <c:v>972.9682893130844</c:v>
                </c:pt>
                <c:pt idx="173">
                  <c:v>1013.0085933458618</c:v>
                </c:pt>
                <c:pt idx="174">
                  <c:v>1048.1136213391237</c:v>
                </c:pt>
                <c:pt idx="175">
                  <c:v>1078.1123451252347</c:v>
                </c:pt>
                <c:pt idx="176">
                  <c:v>1102.8586139373701</c:v>
                </c:pt>
                <c:pt idx="177">
                  <c:v>1122.2318664413624</c:v>
                </c:pt>
                <c:pt idx="178">
                  <c:v>1136.137718098406</c:v>
                </c:pt>
                <c:pt idx="179">
                  <c:v>1144.5084209970373</c:v>
                </c:pt>
                <c:pt idx="180">
                  <c:v>1147.3031939141547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610326"/>
        <c:axId val="424531403"/>
      </c:scatterChart>
      <c:valAx>
        <c:axId val="424531403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Force en 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10610326"/>
        <c:crosses val="autoZero"/>
        <c:crossBetween val="midCat"/>
      </c:valAx>
      <c:valAx>
        <c:axId val="410610326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4531403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Moment X repère global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Mx2_Glob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Feuil1!$AK$32:$AK$212</c:f>
              <c:numCache>
                <c:formatCode>0.000</c:formatCode>
                <c:ptCount val="181"/>
                <c:pt idx="0">
                  <c:v>114.61564782750789</c:v>
                </c:pt>
                <c:pt idx="1">
                  <c:v>119.00757216671035</c:v>
                </c:pt>
                <c:pt idx="2">
                  <c:v>123.35904218015222</c:v>
                </c:pt>
                <c:pt idx="3">
                  <c:v>127.66399170163905</c:v>
                </c:pt>
                <c:pt idx="4">
                  <c:v>131.9159056689743</c:v>
                </c:pt>
                <c:pt idx="5">
                  <c:v>136.10783424957458</c:v>
                </c:pt>
                <c:pt idx="6">
                  <c:v>140.2324099287443</c:v>
                </c:pt>
                <c:pt idx="7">
                  <c:v>144.28186749778953</c:v>
                </c:pt>
                <c:pt idx="8">
                  <c:v>148.24806686397002</c:v>
                </c:pt>
                <c:pt idx="9">
                  <c:v>152.12251858946215</c:v>
                </c:pt>
                <c:pt idx="10">
                  <c:v>155.89641205211183</c:v>
                </c:pt>
                <c:pt idx="11">
                  <c:v>159.56064610686173</c:v>
                </c:pt>
                <c:pt idx="12">
                  <c:v>163.10586211341308</c:v>
                </c:pt>
                <c:pt idx="13">
                  <c:v>166.5224791829985</c:v>
                </c:pt>
                <c:pt idx="14">
                  <c:v>169.80073148515234</c:v>
                </c:pt>
                <c:pt idx="15">
                  <c:v>172.93070744414106</c:v>
                </c:pt>
                <c:pt idx="16">
                  <c:v>175.90239064430452</c:v>
                </c:pt>
                <c:pt idx="17">
                  <c:v>178.70570225401545</c:v>
                </c:pt>
                <c:pt idx="18">
                  <c:v>181.3305447693394</c:v>
                </c:pt>
                <c:pt idx="19">
                  <c:v>183.76684687081027</c:v>
                </c:pt>
                <c:pt idx="20">
                  <c:v>186.00460918006763</c:v>
                </c:pt>
                <c:pt idx="21">
                  <c:v>188.03395069746637</c:v>
                </c:pt>
                <c:pt idx="22">
                  <c:v>189.84515569719554</c:v>
                </c:pt>
                <c:pt idx="23">
                  <c:v>191.42872085295414</c:v>
                </c:pt>
                <c:pt idx="24">
                  <c:v>192.77540236484535</c:v>
                </c:pt>
                <c:pt idx="25">
                  <c:v>193.87626285688367</c:v>
                </c:pt>
                <c:pt idx="26">
                  <c:v>194.72271781436618</c:v>
                </c:pt>
                <c:pt idx="27">
                  <c:v>195.30658133134136</c:v>
                </c:pt>
                <c:pt idx="28">
                  <c:v>195.6201109405176</c:v>
                </c:pt>
                <c:pt idx="29">
                  <c:v>195.65605130117456</c:v>
                </c:pt>
                <c:pt idx="30">
                  <c:v>195.407676524964</c:v>
                </c:pt>
                <c:pt idx="31">
                  <c:v>194.86883092489086</c:v>
                </c:pt>
                <c:pt idx="32">
                  <c:v>194.03396797922593</c:v>
                </c:pt>
                <c:pt idx="33">
                  <c:v>192.8981873095885</c:v>
                </c:pt>
                <c:pt idx="34">
                  <c:v>191.4572694809151</c:v>
                </c:pt>
                <c:pt idx="35">
                  <c:v>189.70770844046137</c:v>
                </c:pt>
                <c:pt idx="36">
                  <c:v>187.64674142332092</c:v>
                </c:pt>
                <c:pt idx="37">
                  <c:v>185.2723761631396</c:v>
                </c:pt>
                <c:pt idx="38">
                  <c:v>182.58341525870398</c:v>
                </c:pt>
                <c:pt idx="39">
                  <c:v>179.57947755983142</c:v>
                </c:pt>
                <c:pt idx="40">
                  <c:v>176.26101644942318</c:v>
                </c:pt>
                <c:pt idx="41">
                  <c:v>172.62933491260156</c:v>
                </c:pt>
                <c:pt idx="42">
                  <c:v>168.68659729846442</c:v>
                </c:pt>
                <c:pt idx="43">
                  <c:v>164.435837695091</c:v>
                </c:pt>
                <c:pt idx="44">
                  <c:v>159.88096485394752</c:v>
                </c:pt>
                <c:pt idx="45">
                  <c:v>155.02676361569067</c:v>
                </c:pt>
                <c:pt idx="46">
                  <c:v>149.87889280548637</c:v>
                </c:pt>
                <c:pt idx="47">
                  <c:v>144.44387958225886</c:v>
                </c:pt>
                <c:pt idx="48">
                  <c:v>138.7291102426967</c:v>
                </c:pt>
                <c:pt idx="49">
                  <c:v>132.74281749727848</c:v>
                </c:pt>
                <c:pt idx="50">
                  <c:v>126.49406425196831</c:v>
                </c:pt>
                <c:pt idx="51">
                  <c:v>119.99272394548612</c:v>
                </c:pt>
                <c:pt idx="52">
                  <c:v>113.24945750811146</c:v>
                </c:pt>
                <c:pt idx="53">
                  <c:v>106.27568702374143</c:v>
                </c:pt>
                <c:pt idx="54">
                  <c:v>99.08356619232654</c:v>
                </c:pt>
                <c:pt idx="55">
                  <c:v>91.68594770477837</c:v>
                </c:pt>
                <c:pt idx="56">
                  <c:v>84.09634765690504</c:v>
                </c:pt>
                <c:pt idx="57">
                  <c:v>76.32890714281166</c:v>
                </c:pt>
                <c:pt idx="58">
                  <c:v>68.39835118144458</c:v>
                </c:pt>
                <c:pt idx="59">
                  <c:v>60.31994514248993</c:v>
                </c:pt>
                <c:pt idx="60">
                  <c:v>52.10944884960217</c:v>
                </c:pt>
                <c:pt idx="61">
                  <c:v>43.78306854987465</c:v>
                </c:pt>
                <c:pt idx="62">
                  <c:v>35.357406948522396</c:v>
                </c:pt>
                <c:pt idx="63">
                  <c:v>26.849411516887837</c:v>
                </c:pt>
                <c:pt idx="64">
                  <c:v>18.27632129003547</c:v>
                </c:pt>
                <c:pt idx="65">
                  <c:v>9.655612377357102</c:v>
                </c:pt>
                <c:pt idx="66">
                  <c:v>1.0049424157163913</c:v>
                </c:pt>
                <c:pt idx="67">
                  <c:v>-7.657905800304047</c:v>
                </c:pt>
                <c:pt idx="68">
                  <c:v>-16.31508127255904</c:v>
                </c:pt>
                <c:pt idx="69">
                  <c:v>-24.94872209658695</c:v>
                </c:pt>
                <c:pt idx="70">
                  <c:v>-33.54101285895035</c:v>
                </c:pt>
                <c:pt idx="71">
                  <c:v>-42.07424189112845</c:v>
                </c:pt>
                <c:pt idx="72">
                  <c:v>-50.53085813701678</c:v>
                </c:pt>
                <c:pt idx="73">
                  <c:v>-58.89352739282768</c:v>
                </c:pt>
                <c:pt idx="74">
                  <c:v>-67.14518768105647</c:v>
                </c:pt>
                <c:pt idx="75">
                  <c:v>-75.26910352415803</c:v>
                </c:pt>
                <c:pt idx="76">
                  <c:v>-83.24891888866998</c:v>
                </c:pt>
                <c:pt idx="77">
                  <c:v>-91.06870857667694</c:v>
                </c:pt>
                <c:pt idx="78">
                  <c:v>-98.71302784871091</c:v>
                </c:pt>
                <c:pt idx="79">
                  <c:v>-106.16696007040028</c:v>
                </c:pt>
                <c:pt idx="80">
                  <c:v>-113.41616218436121</c:v>
                </c:pt>
                <c:pt idx="81">
                  <c:v>-120.44690781893655</c:v>
                </c:pt>
                <c:pt idx="82">
                  <c:v>-127.24612785637709</c:v>
                </c:pt>
                <c:pt idx="83">
                  <c:v>-133.80144829486696</c:v>
                </c:pt>
                <c:pt idx="84">
                  <c:v>-140.10122525137913</c:v>
                </c:pt>
                <c:pt idx="85">
                  <c:v>-146.13457696563498</c:v>
                </c:pt>
                <c:pt idx="86">
                  <c:v>-151.89141267936634</c:v>
                </c:pt>
                <c:pt idx="87">
                  <c:v>-157.36245827959127</c:v>
                </c:pt>
                <c:pt idx="88">
                  <c:v>-162.53927860962452</c:v>
                </c:pt>
                <c:pt idx="89">
                  <c:v>-167.41429636699067</c:v>
                </c:pt>
                <c:pt idx="90">
                  <c:v>-171.98080752321562</c:v>
                </c:pt>
                <c:pt idx="91">
                  <c:v>-176.23299321656214</c:v>
                </c:pt>
                <c:pt idx="92">
                  <c:v>-180.1659280850725</c:v>
                </c:pt>
                <c:pt idx="93">
                  <c:v>-183.77558502370718</c:v>
                </c:pt>
                <c:pt idx="94">
                  <c:v>-187.05883636584275</c:v>
                </c:pt>
                <c:pt idx="95">
                  <c:v>-190.01345150583631</c:v>
                </c:pt>
                <c:pt idx="96">
                  <c:v>-192.63809099570045</c:v>
                </c:pt>
                <c:pt idx="97">
                  <c:v>-194.93229716508267</c:v>
                </c:pt>
                <c:pt idx="98">
                  <c:v>-196.89648132962432</c:v>
                </c:pt>
                <c:pt idx="99">
                  <c:v>-198.53190766832245</c:v>
                </c:pt>
                <c:pt idx="100">
                  <c:v>-199.84067386564152</c:v>
                </c:pt>
                <c:pt idx="101">
                  <c:v>-200.82568862876693</c:v>
                </c:pt>
                <c:pt idx="102">
                  <c:v>-201.49064620447476</c:v>
                </c:pt>
                <c:pt idx="103">
                  <c:v>-201.83999803354996</c:v>
                </c:pt>
                <c:pt idx="104">
                  <c:v>-201.8789216934582</c:v>
                </c:pt>
                <c:pt idx="105">
                  <c:v>-201.61328729199496</c:v>
                </c:pt>
                <c:pt idx="106">
                  <c:v>-201.04962148585054</c:v>
                </c:pt>
                <c:pt idx="107">
                  <c:v>-200.1950693083843</c:v>
                </c:pt>
                <c:pt idx="108">
                  <c:v>-199.0573540003458</c:v>
                </c:pt>
                <c:pt idx="109">
                  <c:v>-197.64473504577356</c:v>
                </c:pt>
                <c:pt idx="110">
                  <c:v>-195.96596462279973</c:v>
                </c:pt>
                <c:pt idx="111">
                  <c:v>-194.03024268556217</c:v>
                </c:pt>
                <c:pt idx="112">
                  <c:v>-191.8471708988343</c:v>
                </c:pt>
                <c:pt idx="113">
                  <c:v>-189.4267056513154</c:v>
                </c:pt>
                <c:pt idx="114">
                  <c:v>-186.7791103767496</c:v>
                </c:pt>
                <c:pt idx="115">
                  <c:v>-183.9149074141516</c:v>
                </c:pt>
                <c:pt idx="116">
                  <c:v>-180.84482963940297</c:v>
                </c:pt>
                <c:pt idx="117">
                  <c:v>-177.57977210033496</c:v>
                </c:pt>
                <c:pt idx="118">
                  <c:v>-174.13074388614874</c:v>
                </c:pt>
                <c:pt idx="119">
                  <c:v>-170.50882045962862</c:v>
                </c:pt>
                <c:pt idx="120">
                  <c:v>-166.72509667711006</c:v>
                </c:pt>
                <c:pt idx="121">
                  <c:v>-162.79064071658496</c:v>
                </c:pt>
                <c:pt idx="122">
                  <c:v>-158.71644912867455</c:v>
                </c:pt>
                <c:pt idx="123">
                  <c:v>-154.51340321852683</c:v>
                </c:pt>
                <c:pt idx="124">
                  <c:v>-150.1922269590099</c:v>
                </c:pt>
                <c:pt idx="125">
                  <c:v>-145.76344662693177</c:v>
                </c:pt>
                <c:pt idx="126">
                  <c:v>-141.23735234446062</c:v>
                </c:pt>
                <c:pt idx="127">
                  <c:v>-136.62396169748538</c:v>
                </c:pt>
                <c:pt idx="128">
                  <c:v>-131.93298559141107</c:v>
                </c:pt>
                <c:pt idx="129">
                  <c:v>-127.17379649287511</c:v>
                </c:pt>
                <c:pt idx="130">
                  <c:v>-122.35539919316142</c:v>
                </c:pt>
                <c:pt idx="131">
                  <c:v>-117.48640421573305</c:v>
                </c:pt>
                <c:pt idx="132">
                  <c:v>-112.57500397639629</c:v>
                </c:pt>
                <c:pt idx="133">
                  <c:v>-107.62895179017076</c:v>
                </c:pt>
                <c:pt idx="134">
                  <c:v>-102.6555438040956</c:v>
                </c:pt>
                <c:pt idx="135">
                  <c:v>-97.66160391998295</c:v>
                </c:pt>
                <c:pt idx="136">
                  <c:v>-92.65347175563465</c:v>
                </c:pt>
                <c:pt idx="137">
                  <c:v>-87.63699367733875</c:v>
                </c:pt>
                <c:pt idx="138">
                  <c:v>-82.61751692062857</c:v>
                </c:pt>
                <c:pt idx="139">
                  <c:v>-77.59988680041009</c:v>
                </c:pt>
                <c:pt idx="140">
                  <c:v>-72.58844699570653</c:v>
                </c:pt>
                <c:pt idx="141">
                  <c:v>-67.58704287852963</c:v>
                </c:pt>
                <c:pt idx="142">
                  <c:v>-62.59902784081824</c:v>
                </c:pt>
                <c:pt idx="143">
                  <c:v>-57.627272558087185</c:v>
                </c:pt>
                <c:pt idx="144">
                  <c:v>-52.674177113466186</c:v>
                </c:pt>
                <c:pt idx="145">
                  <c:v>-47.74168589124869</c:v>
                </c:pt>
                <c:pt idx="146">
                  <c:v>-42.8313051349999</c:v>
                </c:pt>
                <c:pt idx="147">
                  <c:v>-37.94412305175006</c:v>
                </c:pt>
                <c:pt idx="148">
                  <c:v>-33.080832330893166</c:v>
                </c:pt>
                <c:pt idx="149">
                  <c:v>-28.24175493418402</c:v>
                </c:pt>
                <c:pt idx="150">
                  <c:v>-23.426869001748457</c:v>
                </c:pt>
                <c:pt idx="151">
                  <c:v>-18.63583770832852</c:v>
                </c:pt>
                <c:pt idx="152">
                  <c:v>-13.868039894153378</c:v>
                </c:pt>
                <c:pt idx="153">
                  <c:v>-9.12260228588134</c:v>
                </c:pt>
                <c:pt idx="154">
                  <c:v>-4.398433115072362</c:v>
                </c:pt>
                <c:pt idx="155">
                  <c:v>0.3057430653748611</c:v>
                </c:pt>
                <c:pt idx="156">
                  <c:v>4.991349572379637</c:v>
                </c:pt>
                <c:pt idx="157">
                  <c:v>9.659921001943031</c:v>
                </c:pt>
                <c:pt idx="158">
                  <c:v>14.313066070920275</c:v>
                </c:pt>
                <c:pt idx="159">
                  <c:v>18.952430108490955</c:v>
                </c:pt>
                <c:pt idx="160">
                  <c:v>23.579657416218165</c:v>
                </c:pt>
                <c:pt idx="161">
                  <c:v>28.19635371616537</c:v>
                </c:pt>
                <c:pt idx="162">
                  <c:v>32.8040489060103</c:v>
                </c:pt>
                <c:pt idx="163">
                  <c:v>37.40416033845887</c:v>
                </c:pt>
                <c:pt idx="164">
                  <c:v>41.99795683951083</c:v>
                </c:pt>
                <c:pt idx="165">
                  <c:v>46.586523676304346</c:v>
                </c:pt>
                <c:pt idx="166">
                  <c:v>51.1707286803641</c:v>
                </c:pt>
                <c:pt idx="167">
                  <c:v>55.751189726125375</c:v>
                </c:pt>
                <c:pt idx="168">
                  <c:v>60.328243757649126</c:v>
                </c:pt>
                <c:pt idx="169">
                  <c:v>64.90191754849494</c:v>
                </c:pt>
                <c:pt idx="170">
                  <c:v>69.4719003708315</c:v>
                </c:pt>
                <c:pt idx="171">
                  <c:v>74.03751874007618</c:v>
                </c:pt>
                <c:pt idx="172">
                  <c:v>78.59771339072304</c:v>
                </c:pt>
                <c:pt idx="173">
                  <c:v>83.15101862757393</c:v>
                </c:pt>
                <c:pt idx="174">
                  <c:v>87.69554418442306</c:v>
                </c:pt>
                <c:pt idx="175">
                  <c:v>92.22895970937333</c:v>
                </c:pt>
                <c:pt idx="176">
                  <c:v>96.74848198249782</c:v>
                </c:pt>
                <c:pt idx="177">
                  <c:v>101.25086495752302</c:v>
                </c:pt>
                <c:pt idx="178">
                  <c:v>105.73239270470397</c:v>
                </c:pt>
                <c:pt idx="179">
                  <c:v>110.18887531713877</c:v>
                </c:pt>
                <c:pt idx="180">
                  <c:v>114.61564782750787</c:v>
                </c:pt>
              </c:numCache>
            </c:numRef>
          </c:yVal>
        </c:ser>
        <c:ser>
          <c:idx val="1"/>
          <c:order val="1"/>
          <c:tx>
            <c:v>Mx3_Glob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Feuil1!$AL$32:$AL$212</c:f>
              <c:numCache>
                <c:formatCode>0.000</c:formatCode>
                <c:ptCount val="181"/>
                <c:pt idx="0">
                  <c:v>-114.61564782750793</c:v>
                </c:pt>
                <c:pt idx="1">
                  <c:v>-110.1888753171388</c:v>
                </c:pt>
                <c:pt idx="2">
                  <c:v>-105.73239270470422</c:v>
                </c:pt>
                <c:pt idx="3">
                  <c:v>-101.25086495752316</c:v>
                </c:pt>
                <c:pt idx="4">
                  <c:v>-96.74848198249786</c:v>
                </c:pt>
                <c:pt idx="5">
                  <c:v>-92.22895970937333</c:v>
                </c:pt>
                <c:pt idx="6">
                  <c:v>-87.69554418442306</c:v>
                </c:pt>
                <c:pt idx="7">
                  <c:v>-83.15101862757392</c:v>
                </c:pt>
                <c:pt idx="8">
                  <c:v>-78.59771339072296</c:v>
                </c:pt>
                <c:pt idx="9">
                  <c:v>-74.03751874007621</c:v>
                </c:pt>
                <c:pt idx="10">
                  <c:v>-69.47190037083152</c:v>
                </c:pt>
                <c:pt idx="11">
                  <c:v>-64.90191754849512</c:v>
                </c:pt>
                <c:pt idx="12">
                  <c:v>-60.32824375764931</c:v>
                </c:pt>
                <c:pt idx="13">
                  <c:v>-55.751189726125496</c:v>
                </c:pt>
                <c:pt idx="14">
                  <c:v>-51.1707286803641</c:v>
                </c:pt>
                <c:pt idx="15">
                  <c:v>-46.586523676304274</c:v>
                </c:pt>
                <c:pt idx="16">
                  <c:v>-41.99795683951077</c:v>
                </c:pt>
                <c:pt idx="17">
                  <c:v>-37.404160338459</c:v>
                </c:pt>
                <c:pt idx="18">
                  <c:v>-32.80404890601036</c:v>
                </c:pt>
                <c:pt idx="19">
                  <c:v>-28.196353716165437</c:v>
                </c:pt>
                <c:pt idx="20">
                  <c:v>-23.579657416218357</c:v>
                </c:pt>
                <c:pt idx="21">
                  <c:v>-18.952430108491082</c:v>
                </c:pt>
                <c:pt idx="22">
                  <c:v>-14.313066070920332</c:v>
                </c:pt>
                <c:pt idx="23">
                  <c:v>-9.659921001943111</c:v>
                </c:pt>
                <c:pt idx="24">
                  <c:v>-4.991349572379637</c:v>
                </c:pt>
                <c:pt idx="25">
                  <c:v>-0.3057430653750089</c:v>
                </c:pt>
                <c:pt idx="26">
                  <c:v>4.398433115072294</c:v>
                </c:pt>
                <c:pt idx="27">
                  <c:v>9.122602285881271</c:v>
                </c:pt>
                <c:pt idx="28">
                  <c:v>13.868039894153334</c:v>
                </c:pt>
                <c:pt idx="29">
                  <c:v>18.635837708328598</c:v>
                </c:pt>
                <c:pt idx="30">
                  <c:v>23.426869001748255</c:v>
                </c:pt>
                <c:pt idx="31">
                  <c:v>28.241754934183987</c:v>
                </c:pt>
                <c:pt idx="32">
                  <c:v>33.08083233089311</c:v>
                </c:pt>
                <c:pt idx="33">
                  <c:v>37.94412305175012</c:v>
                </c:pt>
                <c:pt idx="34">
                  <c:v>42.83130513499973</c:v>
                </c:pt>
                <c:pt idx="35">
                  <c:v>47.74168589124847</c:v>
                </c:pt>
                <c:pt idx="36">
                  <c:v>52.67417711346613</c:v>
                </c:pt>
                <c:pt idx="37">
                  <c:v>57.62727255808724</c:v>
                </c:pt>
                <c:pt idx="38">
                  <c:v>62.599027840818316</c:v>
                </c:pt>
                <c:pt idx="39">
                  <c:v>67.58704287852967</c:v>
                </c:pt>
                <c:pt idx="40">
                  <c:v>72.58844699570648</c:v>
                </c:pt>
                <c:pt idx="41">
                  <c:v>77.59988680041003</c:v>
                </c:pt>
                <c:pt idx="42">
                  <c:v>82.6175169206285</c:v>
                </c:pt>
                <c:pt idx="43">
                  <c:v>87.63699367733852</c:v>
                </c:pt>
                <c:pt idx="44">
                  <c:v>92.65347175563446</c:v>
                </c:pt>
                <c:pt idx="45">
                  <c:v>97.66160391998288</c:v>
                </c:pt>
                <c:pt idx="46">
                  <c:v>102.65554380409566</c:v>
                </c:pt>
                <c:pt idx="47">
                  <c:v>107.62895179017072</c:v>
                </c:pt>
                <c:pt idx="48">
                  <c:v>112.57500397639622</c:v>
                </c:pt>
                <c:pt idx="49">
                  <c:v>117.4864042157331</c:v>
                </c:pt>
                <c:pt idx="50">
                  <c:v>122.35539919316135</c:v>
                </c:pt>
                <c:pt idx="51">
                  <c:v>127.17379649287506</c:v>
                </c:pt>
                <c:pt idx="52">
                  <c:v>131.93298559141087</c:v>
                </c:pt>
                <c:pt idx="53">
                  <c:v>136.62396169748533</c:v>
                </c:pt>
                <c:pt idx="54">
                  <c:v>141.23735234446053</c:v>
                </c:pt>
                <c:pt idx="55">
                  <c:v>145.76344662693157</c:v>
                </c:pt>
                <c:pt idx="56">
                  <c:v>150.19222695900984</c:v>
                </c:pt>
                <c:pt idx="57">
                  <c:v>154.51340321852692</c:v>
                </c:pt>
                <c:pt idx="58">
                  <c:v>158.7164491286745</c:v>
                </c:pt>
                <c:pt idx="59">
                  <c:v>162.7906407165849</c:v>
                </c:pt>
                <c:pt idx="60">
                  <c:v>166.72509667711012</c:v>
                </c:pt>
                <c:pt idx="61">
                  <c:v>170.5088204596286</c:v>
                </c:pt>
                <c:pt idx="62">
                  <c:v>174.1307438861487</c:v>
                </c:pt>
                <c:pt idx="63">
                  <c:v>177.57977210033482</c:v>
                </c:pt>
                <c:pt idx="64">
                  <c:v>180.84482963940292</c:v>
                </c:pt>
                <c:pt idx="65">
                  <c:v>183.9149074141516</c:v>
                </c:pt>
                <c:pt idx="66">
                  <c:v>186.77911037674946</c:v>
                </c:pt>
                <c:pt idx="67">
                  <c:v>189.42670565131527</c:v>
                </c:pt>
                <c:pt idx="68">
                  <c:v>191.8471708988343</c:v>
                </c:pt>
                <c:pt idx="69">
                  <c:v>194.03024268556217</c:v>
                </c:pt>
                <c:pt idx="70">
                  <c:v>195.96596462279973</c:v>
                </c:pt>
                <c:pt idx="71">
                  <c:v>197.64473504577356</c:v>
                </c:pt>
                <c:pt idx="72">
                  <c:v>199.05735400034587</c:v>
                </c:pt>
                <c:pt idx="73">
                  <c:v>200.1950693083843</c:v>
                </c:pt>
                <c:pt idx="74">
                  <c:v>201.04962148585048</c:v>
                </c:pt>
                <c:pt idx="75">
                  <c:v>201.6132872919949</c:v>
                </c:pt>
                <c:pt idx="76">
                  <c:v>201.8789216934582</c:v>
                </c:pt>
                <c:pt idx="77">
                  <c:v>201.83999803354993</c:v>
                </c:pt>
                <c:pt idx="78">
                  <c:v>201.49064620447476</c:v>
                </c:pt>
                <c:pt idx="79">
                  <c:v>200.82568862876698</c:v>
                </c:pt>
                <c:pt idx="80">
                  <c:v>199.8406738656415</c:v>
                </c:pt>
                <c:pt idx="81">
                  <c:v>198.53190766832245</c:v>
                </c:pt>
                <c:pt idx="82">
                  <c:v>196.89648132962432</c:v>
                </c:pt>
                <c:pt idx="83">
                  <c:v>194.93229716508264</c:v>
                </c:pt>
                <c:pt idx="84">
                  <c:v>192.6380909957006</c:v>
                </c:pt>
                <c:pt idx="85">
                  <c:v>190.01345150583643</c:v>
                </c:pt>
                <c:pt idx="86">
                  <c:v>187.05883636584286</c:v>
                </c:pt>
                <c:pt idx="87">
                  <c:v>183.77558502370724</c:v>
                </c:pt>
                <c:pt idx="88">
                  <c:v>180.16592808507247</c:v>
                </c:pt>
                <c:pt idx="89">
                  <c:v>176.23299321656222</c:v>
                </c:pt>
                <c:pt idx="90">
                  <c:v>171.98080752321567</c:v>
                </c:pt>
                <c:pt idx="91">
                  <c:v>167.41429636699073</c:v>
                </c:pt>
                <c:pt idx="92">
                  <c:v>162.53927860962446</c:v>
                </c:pt>
                <c:pt idx="93">
                  <c:v>157.36245827959135</c:v>
                </c:pt>
                <c:pt idx="94">
                  <c:v>151.89141267936654</c:v>
                </c:pt>
                <c:pt idx="95">
                  <c:v>146.1345769656352</c:v>
                </c:pt>
                <c:pt idx="96">
                  <c:v>140.10122525137936</c:v>
                </c:pt>
                <c:pt idx="97">
                  <c:v>133.80144829486684</c:v>
                </c:pt>
                <c:pt idx="98">
                  <c:v>127.24612785637717</c:v>
                </c:pt>
                <c:pt idx="99">
                  <c:v>120.44690781893665</c:v>
                </c:pt>
                <c:pt idx="100">
                  <c:v>113.41616218436114</c:v>
                </c:pt>
                <c:pt idx="101">
                  <c:v>106.16696007040036</c:v>
                </c:pt>
                <c:pt idx="102">
                  <c:v>98.71302784871101</c:v>
                </c:pt>
                <c:pt idx="103">
                  <c:v>91.0687085766769</c:v>
                </c:pt>
                <c:pt idx="104">
                  <c:v>83.24891888867012</c:v>
                </c:pt>
                <c:pt idx="105">
                  <c:v>75.26910352415835</c:v>
                </c:pt>
                <c:pt idx="106">
                  <c:v>67.1451876810568</c:v>
                </c:pt>
                <c:pt idx="107">
                  <c:v>58.893527392827984</c:v>
                </c:pt>
                <c:pt idx="108">
                  <c:v>50.530858137016665</c:v>
                </c:pt>
                <c:pt idx="109">
                  <c:v>42.07424189112858</c:v>
                </c:pt>
                <c:pt idx="110">
                  <c:v>33.54101285895048</c:v>
                </c:pt>
                <c:pt idx="111">
                  <c:v>24.94872209658686</c:v>
                </c:pt>
                <c:pt idx="112">
                  <c:v>16.315081272559144</c:v>
                </c:pt>
                <c:pt idx="113">
                  <c:v>7.657905800304355</c:v>
                </c:pt>
                <c:pt idx="114">
                  <c:v>-1.004942415716039</c:v>
                </c:pt>
                <c:pt idx="115">
                  <c:v>-9.655612377357</c:v>
                </c:pt>
                <c:pt idx="116">
                  <c:v>-18.276321290035344</c:v>
                </c:pt>
                <c:pt idx="117">
                  <c:v>-26.849411516887507</c:v>
                </c:pt>
                <c:pt idx="118">
                  <c:v>-35.35740694852228</c:v>
                </c:pt>
                <c:pt idx="119">
                  <c:v>-43.783068549874514</c:v>
                </c:pt>
                <c:pt idx="120">
                  <c:v>-52.10944884960227</c:v>
                </c:pt>
                <c:pt idx="121">
                  <c:v>-60.31994514248983</c:v>
                </c:pt>
                <c:pt idx="122">
                  <c:v>-68.39835118144447</c:v>
                </c:pt>
                <c:pt idx="123">
                  <c:v>-76.32890714281173</c:v>
                </c:pt>
                <c:pt idx="124">
                  <c:v>-84.09634765690491</c:v>
                </c:pt>
                <c:pt idx="125">
                  <c:v>-91.68594770477806</c:v>
                </c:pt>
                <c:pt idx="126">
                  <c:v>-99.08356619232643</c:v>
                </c:pt>
                <c:pt idx="127">
                  <c:v>-106.27568702374136</c:v>
                </c:pt>
                <c:pt idx="128">
                  <c:v>-113.24945750811119</c:v>
                </c:pt>
                <c:pt idx="129">
                  <c:v>-119.992723945486</c:v>
                </c:pt>
                <c:pt idx="130">
                  <c:v>-126.49406425196824</c:v>
                </c:pt>
                <c:pt idx="131">
                  <c:v>-132.74281749727854</c:v>
                </c:pt>
                <c:pt idx="132">
                  <c:v>-138.7291102426966</c:v>
                </c:pt>
                <c:pt idx="133">
                  <c:v>-144.44387958225877</c:v>
                </c:pt>
                <c:pt idx="134">
                  <c:v>-149.8788928054864</c:v>
                </c:pt>
                <c:pt idx="135">
                  <c:v>-155.02676361569058</c:v>
                </c:pt>
                <c:pt idx="136">
                  <c:v>-159.88096485394738</c:v>
                </c:pt>
                <c:pt idx="137">
                  <c:v>-164.43583769509084</c:v>
                </c:pt>
                <c:pt idx="138">
                  <c:v>-168.68659729846433</c:v>
                </c:pt>
                <c:pt idx="139">
                  <c:v>-172.6293349126015</c:v>
                </c:pt>
                <c:pt idx="140">
                  <c:v>-176.2610164494231</c:v>
                </c:pt>
                <c:pt idx="141">
                  <c:v>-179.57947755983145</c:v>
                </c:pt>
                <c:pt idx="142">
                  <c:v>-182.583415258704</c:v>
                </c:pt>
                <c:pt idx="143">
                  <c:v>-185.2723761631396</c:v>
                </c:pt>
                <c:pt idx="144">
                  <c:v>-187.64674142332092</c:v>
                </c:pt>
                <c:pt idx="145">
                  <c:v>-189.7077084404613</c:v>
                </c:pt>
                <c:pt idx="146">
                  <c:v>-191.45726948091502</c:v>
                </c:pt>
                <c:pt idx="147">
                  <c:v>-192.8981873095885</c:v>
                </c:pt>
                <c:pt idx="148">
                  <c:v>-194.0339679792259</c:v>
                </c:pt>
                <c:pt idx="149">
                  <c:v>-194.8688309248908</c:v>
                </c:pt>
                <c:pt idx="150">
                  <c:v>-195.407676524964</c:v>
                </c:pt>
                <c:pt idx="151">
                  <c:v>-195.65605130117456</c:v>
                </c:pt>
                <c:pt idx="152">
                  <c:v>-195.6201109405176</c:v>
                </c:pt>
                <c:pt idx="153">
                  <c:v>-195.30658133134136</c:v>
                </c:pt>
                <c:pt idx="154">
                  <c:v>-194.7227178143662</c:v>
                </c:pt>
                <c:pt idx="155">
                  <c:v>-193.87626285688373</c:v>
                </c:pt>
                <c:pt idx="156">
                  <c:v>-192.77540236484535</c:v>
                </c:pt>
                <c:pt idx="157">
                  <c:v>-191.42872085295414</c:v>
                </c:pt>
                <c:pt idx="158">
                  <c:v>-189.84515569719554</c:v>
                </c:pt>
                <c:pt idx="159">
                  <c:v>-188.0339506974664</c:v>
                </c:pt>
                <c:pt idx="160">
                  <c:v>-186.00460918006775</c:v>
                </c:pt>
                <c:pt idx="161">
                  <c:v>-183.7668468708103</c:v>
                </c:pt>
                <c:pt idx="162">
                  <c:v>-181.3305447693394</c:v>
                </c:pt>
                <c:pt idx="163">
                  <c:v>-178.70570225401553</c:v>
                </c:pt>
                <c:pt idx="164">
                  <c:v>-175.9023906443045</c:v>
                </c:pt>
                <c:pt idx="165">
                  <c:v>-172.93070744414104</c:v>
                </c:pt>
                <c:pt idx="166">
                  <c:v>-169.80073148515234</c:v>
                </c:pt>
                <c:pt idx="167">
                  <c:v>-166.5224791829986</c:v>
                </c:pt>
                <c:pt idx="168">
                  <c:v>-163.1058621134132</c:v>
                </c:pt>
                <c:pt idx="169">
                  <c:v>-159.56064610686187</c:v>
                </c:pt>
                <c:pt idx="170">
                  <c:v>-155.89641205211183</c:v>
                </c:pt>
                <c:pt idx="171">
                  <c:v>-152.12251858946215</c:v>
                </c:pt>
                <c:pt idx="172">
                  <c:v>-148.2480668639699</c:v>
                </c:pt>
                <c:pt idx="173">
                  <c:v>-144.28186749778948</c:v>
                </c:pt>
                <c:pt idx="174">
                  <c:v>-140.2324099287443</c:v>
                </c:pt>
                <c:pt idx="175">
                  <c:v>-136.1078342495746</c:v>
                </c:pt>
                <c:pt idx="176">
                  <c:v>-131.91590566897437</c:v>
                </c:pt>
                <c:pt idx="177">
                  <c:v>-127.66399170163923</c:v>
                </c:pt>
                <c:pt idx="178">
                  <c:v>-123.35904218015241</c:v>
                </c:pt>
                <c:pt idx="179">
                  <c:v>-119.00757216671036</c:v>
                </c:pt>
                <c:pt idx="180">
                  <c:v>-114.61564782750796</c:v>
                </c:pt>
              </c:numCache>
            </c:numRef>
          </c:yVal>
        </c:ser>
        <c:ser>
          <c:idx val="2"/>
          <c:order val="2"/>
          <c:tx>
            <c:v>Mx4_Glob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3"/>
              </a:solidFill>
              <a:ln xmlns:a="http://schemas.openxmlformats.org/drawingml/2006/main" cmpd="sng">
                <a:solidFill>
                  <a:schemeClr val="accent3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Feuil1!$AM$32:$AM$212</c:f>
              <c:numCache>
                <c:formatCode>0.000</c:formatCode>
                <c:ptCount val="181"/>
                <c:pt idx="0">
                  <c:v>343.9616150464313</c:v>
                </c:pt>
                <c:pt idx="1">
                  <c:v>352.4659864331245</c:v>
                </c:pt>
                <c:pt idx="2">
                  <c:v>360.33185617014504</c:v>
                </c:pt>
                <c:pt idx="3">
                  <c:v>367.5511700474145</c:v>
                </c:pt>
                <c:pt idx="4">
                  <c:v>374.1176727316856</c:v>
                </c:pt>
                <c:pt idx="5">
                  <c:v>380.02690301167263</c:v>
                </c:pt>
                <c:pt idx="6">
                  <c:v>385.276181991401</c:v>
                </c:pt>
                <c:pt idx="7">
                  <c:v>389.86459433016535</c:v>
                </c:pt>
                <c:pt idx="8">
                  <c:v>393.79296265924864</c:v>
                </c:pt>
                <c:pt idx="9">
                  <c:v>397.0638153366449</c:v>
                </c:pt>
                <c:pt idx="10">
                  <c:v>399.68134773128304</c:v>
                </c:pt>
                <c:pt idx="11">
                  <c:v>401.6513772575339</c:v>
                </c:pt>
                <c:pt idx="12">
                  <c:v>402.98129240894946</c:v>
                </c:pt>
                <c:pt idx="13">
                  <c:v>403.6799960670999</c:v>
                </c:pt>
                <c:pt idx="14">
                  <c:v>403.7578433869164</c:v>
                </c:pt>
                <c:pt idx="15">
                  <c:v>403.2265745839899</c:v>
                </c:pt>
                <c:pt idx="16">
                  <c:v>402.099242971701</c:v>
                </c:pt>
                <c:pt idx="17">
                  <c:v>400.3901386167686</c:v>
                </c:pt>
                <c:pt idx="18">
                  <c:v>398.11470800069173</c:v>
                </c:pt>
                <c:pt idx="19">
                  <c:v>395.2894700915472</c:v>
                </c:pt>
                <c:pt idx="20">
                  <c:v>391.93192924559946</c:v>
                </c:pt>
                <c:pt idx="21">
                  <c:v>388.0604853711244</c:v>
                </c:pt>
                <c:pt idx="22">
                  <c:v>383.6943417976686</c:v>
                </c:pt>
                <c:pt idx="23">
                  <c:v>378.8534113026307</c:v>
                </c:pt>
                <c:pt idx="24">
                  <c:v>373.558220753499</c:v>
                </c:pt>
                <c:pt idx="25">
                  <c:v>367.8298148283032</c:v>
                </c:pt>
                <c:pt idx="26">
                  <c:v>361.6896592788058</c:v>
                </c:pt>
                <c:pt idx="27">
                  <c:v>355.15954420066976</c:v>
                </c:pt>
                <c:pt idx="28">
                  <c:v>348.2614877722976</c:v>
                </c:pt>
                <c:pt idx="29">
                  <c:v>341.0176409192572</c:v>
                </c:pt>
                <c:pt idx="30">
                  <c:v>333.45019335422023</c:v>
                </c:pt>
                <c:pt idx="31">
                  <c:v>325.5812814331699</c:v>
                </c:pt>
                <c:pt idx="32">
                  <c:v>317.432898257349</c:v>
                </c:pt>
                <c:pt idx="33">
                  <c:v>309.02680643705366</c:v>
                </c:pt>
                <c:pt idx="34">
                  <c:v>300.3844539180197</c:v>
                </c:pt>
                <c:pt idx="35">
                  <c:v>291.52689325386336</c:v>
                </c:pt>
                <c:pt idx="36">
                  <c:v>282.4747046889211</c:v>
                </c:pt>
                <c:pt idx="37">
                  <c:v>273.2479233949706</c:v>
                </c:pt>
                <c:pt idx="38">
                  <c:v>263.86597118282185</c:v>
                </c:pt>
                <c:pt idx="39">
                  <c:v>254.34759298575034</c:v>
                </c:pt>
                <c:pt idx="40">
                  <c:v>244.71079838632284</c:v>
                </c:pt>
                <c:pt idx="41">
                  <c:v>234.97280843146623</c:v>
                </c:pt>
                <c:pt idx="42">
                  <c:v>225.15000795279258</c:v>
                </c:pt>
                <c:pt idx="43">
                  <c:v>215.25790358034143</c:v>
                </c:pt>
                <c:pt idx="44">
                  <c:v>205.31108760819126</c:v>
                </c:pt>
                <c:pt idx="45">
                  <c:v>195.3232078399658</c:v>
                </c:pt>
                <c:pt idx="46">
                  <c:v>185.3069435112692</c:v>
                </c:pt>
                <c:pt idx="47">
                  <c:v>175.27398735467716</c:v>
                </c:pt>
                <c:pt idx="48">
                  <c:v>165.235033841257</c:v>
                </c:pt>
                <c:pt idx="49">
                  <c:v>155.19977360081995</c:v>
                </c:pt>
                <c:pt idx="50">
                  <c:v>145.17689399141298</c:v>
                </c:pt>
                <c:pt idx="51">
                  <c:v>135.17408575705957</c:v>
                </c:pt>
                <c:pt idx="52">
                  <c:v>125.19805568163663</c:v>
                </c:pt>
                <c:pt idx="53">
                  <c:v>115.25454511617441</c:v>
                </c:pt>
                <c:pt idx="54">
                  <c:v>105.34835422693234</c:v>
                </c:pt>
                <c:pt idx="55">
                  <c:v>95.48337178249713</c:v>
                </c:pt>
                <c:pt idx="56">
                  <c:v>85.66261026999953</c:v>
                </c:pt>
                <c:pt idx="57">
                  <c:v>75.88824610350024</c:v>
                </c:pt>
                <c:pt idx="58">
                  <c:v>66.16166466178632</c:v>
                </c:pt>
                <c:pt idx="59">
                  <c:v>56.48350986836804</c:v>
                </c:pt>
                <c:pt idx="60">
                  <c:v>46.85373800349674</c:v>
                </c:pt>
                <c:pt idx="61">
                  <c:v>37.27167541665724</c:v>
                </c:pt>
                <c:pt idx="62">
                  <c:v>27.736079788306824</c:v>
                </c:pt>
                <c:pt idx="63">
                  <c:v>18.245204571762656</c:v>
                </c:pt>
                <c:pt idx="64">
                  <c:v>8.796866230144564</c:v>
                </c:pt>
                <c:pt idx="65">
                  <c:v>-0.6114861307500633</c:v>
                </c:pt>
                <c:pt idx="66">
                  <c:v>-9.982699144759204</c:v>
                </c:pt>
                <c:pt idx="67">
                  <c:v>-19.319842003886016</c:v>
                </c:pt>
                <c:pt idx="68">
                  <c:v>-28.62613214184071</c:v>
                </c:pt>
                <c:pt idx="69">
                  <c:v>-37.904860216982094</c:v>
                </c:pt>
                <c:pt idx="70">
                  <c:v>-47.15931483243665</c:v>
                </c:pt>
                <c:pt idx="71">
                  <c:v>-56.392707432330695</c:v>
                </c:pt>
                <c:pt idx="72">
                  <c:v>-65.60809781202066</c:v>
                </c:pt>
                <c:pt idx="73">
                  <c:v>-74.8083206769179</c:v>
                </c:pt>
                <c:pt idx="74">
                  <c:v>-83.99591367902151</c:v>
                </c:pt>
                <c:pt idx="75">
                  <c:v>-93.17304735260859</c:v>
                </c:pt>
                <c:pt idx="76">
                  <c:v>-102.34145736072816</c:v>
                </c:pt>
                <c:pt idx="77">
                  <c:v>-111.5023794522509</c:v>
                </c:pt>
                <c:pt idx="78">
                  <c:v>-120.65648751529841</c:v>
                </c:pt>
                <c:pt idx="79">
                  <c:v>-129.80383509699018</c:v>
                </c:pt>
                <c:pt idx="80">
                  <c:v>-138.94380074166293</c:v>
                </c:pt>
                <c:pt idx="81">
                  <c:v>-148.07503748015247</c:v>
                </c:pt>
                <c:pt idx="82">
                  <c:v>-157.1954267814457</c:v>
                </c:pt>
                <c:pt idx="83">
                  <c:v>-166.30203725514775</c:v>
                </c:pt>
                <c:pt idx="84">
                  <c:v>-175.39108836884608</c:v>
                </c:pt>
                <c:pt idx="85">
                  <c:v>-184.4579194187467</c:v>
                </c:pt>
                <c:pt idx="86">
                  <c:v>-193.4969639649957</c:v>
                </c:pt>
                <c:pt idx="87">
                  <c:v>-202.50172991504618</c:v>
                </c:pt>
                <c:pt idx="88">
                  <c:v>-211.46478540940825</c:v>
                </c:pt>
                <c:pt idx="89">
                  <c:v>-220.37775063427762</c:v>
                </c:pt>
                <c:pt idx="90">
                  <c:v>-229.23129565501577</c:v>
                </c:pt>
                <c:pt idx="91">
                  <c:v>-238.0151443334207</c:v>
                </c:pt>
                <c:pt idx="92">
                  <c:v>-246.71808436030443</c:v>
                </c:pt>
                <c:pt idx="93">
                  <c:v>-255.3279834032781</c:v>
                </c:pt>
                <c:pt idx="94">
                  <c:v>-263.8318113379486</c:v>
                </c:pt>
                <c:pt idx="95">
                  <c:v>-272.21566849914916</c:v>
                </c:pt>
                <c:pt idx="96">
                  <c:v>-280.4648198574886</c:v>
                </c:pt>
                <c:pt idx="97">
                  <c:v>-288.56373499557907</c:v>
                </c:pt>
                <c:pt idx="98">
                  <c:v>-296.49613372794005</c:v>
                </c:pt>
                <c:pt idx="99">
                  <c:v>-304.2450371789243</c:v>
                </c:pt>
                <c:pt idx="100">
                  <c:v>-311.79282410422366</c:v>
                </c:pt>
                <c:pt idx="101">
                  <c:v>-319.12129221372345</c:v>
                </c:pt>
                <c:pt idx="102">
                  <c:v>-326.21172422682616</c:v>
                </c:pt>
                <c:pt idx="103">
                  <c:v>-333.044958365997</c:v>
                </c:pt>
                <c:pt idx="104">
                  <c:v>-339.6014629703047</c:v>
                </c:pt>
                <c:pt idx="105">
                  <c:v>-345.8614148882821</c:v>
                </c:pt>
                <c:pt idx="106">
                  <c:v>-351.80478128860904</c:v>
                </c:pt>
                <c:pt idx="107">
                  <c:v>-357.4114045080309</c:v>
                </c:pt>
                <c:pt idx="108">
                  <c:v>-362.6610895386788</c:v>
                </c:pt>
                <c:pt idx="109">
                  <c:v>-367.53369374162054</c:v>
                </c:pt>
                <c:pt idx="110">
                  <c:v>-372.00921836013526</c:v>
                </c:pt>
                <c:pt idx="111">
                  <c:v>-376.06790139493273</c:v>
                </c:pt>
                <c:pt idx="112">
                  <c:v>-379.6903113943911</c:v>
                </c:pt>
                <c:pt idx="113">
                  <c:v>-382.8574417059083</c:v>
                </c:pt>
                <c:pt idx="114">
                  <c:v>-385.5508047296907</c:v>
                </c:pt>
                <c:pt idx="115">
                  <c:v>-387.75252571376734</c:v>
                </c:pt>
                <c:pt idx="116">
                  <c:v>-389.44543562873235</c:v>
                </c:pt>
                <c:pt idx="117">
                  <c:v>-390.6131626626827</c:v>
                </c:pt>
                <c:pt idx="118">
                  <c:v>-391.2402218810352</c:v>
                </c:pt>
                <c:pt idx="119">
                  <c:v>-391.3121026023491</c:v>
                </c:pt>
                <c:pt idx="120">
                  <c:v>-390.815353049928</c:v>
                </c:pt>
                <c:pt idx="121">
                  <c:v>-389.7376618497817</c:v>
                </c:pt>
                <c:pt idx="122">
                  <c:v>-388.06793595845187</c:v>
                </c:pt>
                <c:pt idx="123">
                  <c:v>-385.796374619177</c:v>
                </c:pt>
                <c:pt idx="124">
                  <c:v>-382.9145389618302</c:v>
                </c:pt>
                <c:pt idx="125">
                  <c:v>-379.41541688092275</c:v>
                </c:pt>
                <c:pt idx="126">
                  <c:v>-375.29348284664184</c:v>
                </c:pt>
                <c:pt idx="127">
                  <c:v>-370.5447523262792</c:v>
                </c:pt>
                <c:pt idx="128">
                  <c:v>-365.16683051740796</c:v>
                </c:pt>
                <c:pt idx="129">
                  <c:v>-359.15895511966283</c:v>
                </c:pt>
                <c:pt idx="130">
                  <c:v>-352.52203289884636</c:v>
                </c:pt>
                <c:pt idx="131">
                  <c:v>-345.2586698252031</c:v>
                </c:pt>
                <c:pt idx="132">
                  <c:v>-337.37319459692884</c:v>
                </c:pt>
                <c:pt idx="133">
                  <c:v>-328.871675390182</c:v>
                </c:pt>
                <c:pt idx="134">
                  <c:v>-319.76192970789504</c:v>
                </c:pt>
                <c:pt idx="135">
                  <c:v>-310.05352723138134</c:v>
                </c:pt>
                <c:pt idx="136">
                  <c:v>-299.75778561097275</c:v>
                </c:pt>
                <c:pt idx="137">
                  <c:v>-288.8877591645177</c:v>
                </c:pt>
                <c:pt idx="138">
                  <c:v>-277.4582204853934</c:v>
                </c:pt>
                <c:pt idx="139">
                  <c:v>-265.48563499455696</c:v>
                </c:pt>
                <c:pt idx="140">
                  <c:v>-252.98812850393662</c:v>
                </c:pt>
                <c:pt idx="141">
                  <c:v>-239.98544789097224</c:v>
                </c:pt>
                <c:pt idx="142">
                  <c:v>-226.49891501622292</c:v>
                </c:pt>
                <c:pt idx="143">
                  <c:v>-212.55137404748285</c:v>
                </c:pt>
                <c:pt idx="144">
                  <c:v>-198.1671323846531</c:v>
                </c:pt>
                <c:pt idx="145">
                  <c:v>-183.37189540955674</c:v>
                </c:pt>
                <c:pt idx="146">
                  <c:v>-168.19269531381008</c:v>
                </c:pt>
                <c:pt idx="147">
                  <c:v>-152.65781428562332</c:v>
                </c:pt>
                <c:pt idx="148">
                  <c:v>-136.79670236288916</c:v>
                </c:pt>
                <c:pt idx="149">
                  <c:v>-120.63989028497986</c:v>
                </c:pt>
                <c:pt idx="150">
                  <c:v>-104.21889769920433</c:v>
                </c:pt>
                <c:pt idx="151">
                  <c:v>-87.5661370997493</c:v>
                </c:pt>
                <c:pt idx="152">
                  <c:v>-70.71481389704479</c:v>
                </c:pt>
                <c:pt idx="153">
                  <c:v>-53.698823033775675</c:v>
                </c:pt>
                <c:pt idx="154">
                  <c:v>-36.55264258007094</c:v>
                </c:pt>
                <c:pt idx="155">
                  <c:v>-19.311224754714203</c:v>
                </c:pt>
                <c:pt idx="156">
                  <c:v>-2.0098848314327826</c:v>
                </c:pt>
                <c:pt idx="157">
                  <c:v>15.315811600608095</c:v>
                </c:pt>
                <c:pt idx="158">
                  <c:v>32.63016254511808</c:v>
                </c:pt>
                <c:pt idx="159">
                  <c:v>49.8974441931739</c:v>
                </c:pt>
                <c:pt idx="160">
                  <c:v>67.0820257179007</c:v>
                </c:pt>
                <c:pt idx="161">
                  <c:v>84.1484837822569</c:v>
                </c:pt>
                <c:pt idx="162">
                  <c:v>101.06171627403356</c:v>
                </c:pt>
                <c:pt idx="163">
                  <c:v>117.78705478565536</c:v>
                </c:pt>
                <c:pt idx="164">
                  <c:v>134.29037536211294</c:v>
                </c:pt>
                <c:pt idx="165">
                  <c:v>150.53820704831605</c:v>
                </c:pt>
                <c:pt idx="166">
                  <c:v>166.49783777733995</c:v>
                </c:pt>
                <c:pt idx="167">
                  <c:v>182.13741715335388</c:v>
                </c:pt>
                <c:pt idx="168">
                  <c:v>197.42605569742182</c:v>
                </c:pt>
                <c:pt idx="169">
                  <c:v>212.33392014080056</c:v>
                </c:pt>
                <c:pt idx="170">
                  <c:v>226.83232436872242</c:v>
                </c:pt>
                <c:pt idx="171">
                  <c:v>240.8938156378731</c:v>
                </c:pt>
                <c:pt idx="172">
                  <c:v>254.49225571275417</c:v>
                </c:pt>
                <c:pt idx="173">
                  <c:v>267.6028965897339</c:v>
                </c:pt>
                <c:pt idx="174">
                  <c:v>280.20245050275827</c:v>
                </c:pt>
                <c:pt idx="175">
                  <c:v>292.26915393126995</c:v>
                </c:pt>
                <c:pt idx="176">
                  <c:v>303.7828253587327</c:v>
                </c:pt>
                <c:pt idx="177">
                  <c:v>314.72491655918253</c:v>
                </c:pt>
                <c:pt idx="178">
                  <c:v>325.07855721924903</c:v>
                </c:pt>
                <c:pt idx="179">
                  <c:v>334.82859273398134</c:v>
                </c:pt>
                <c:pt idx="180">
                  <c:v>343.96161504643123</c:v>
                </c:pt>
              </c:numCache>
            </c:numRef>
          </c:yVal>
        </c:ser>
        <c:ser>
          <c:idx val="3"/>
          <c:order val="3"/>
          <c:tx>
            <c:v>Mx1_Glob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chemeClr val="accent4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Feuil1!$AJ$32:$AJ$212</c:f>
              <c:numCache>
                <c:formatCode>0.000</c:formatCode>
                <c:ptCount val="181"/>
                <c:pt idx="0">
                  <c:v>-343.9616150464313</c:v>
                </c:pt>
                <c:pt idx="1">
                  <c:v>-334.8285927339813</c:v>
                </c:pt>
                <c:pt idx="2">
                  <c:v>-325.07855721924886</c:v>
                </c:pt>
                <c:pt idx="3">
                  <c:v>-314.72491655918253</c:v>
                </c:pt>
                <c:pt idx="4">
                  <c:v>-303.7828253587328</c:v>
                </c:pt>
                <c:pt idx="5">
                  <c:v>-292.2691539312702</c:v>
                </c:pt>
                <c:pt idx="6">
                  <c:v>-280.20245050275844</c:v>
                </c:pt>
                <c:pt idx="7">
                  <c:v>-267.602896589734</c:v>
                </c:pt>
                <c:pt idx="8">
                  <c:v>-254.49225571275443</c:v>
                </c:pt>
                <c:pt idx="9">
                  <c:v>-240.89381563787316</c:v>
                </c:pt>
                <c:pt idx="10">
                  <c:v>-226.83232436872237</c:v>
                </c:pt>
                <c:pt idx="11">
                  <c:v>-212.3339201408007</c:v>
                </c:pt>
                <c:pt idx="12">
                  <c:v>-197.4260556974218</c:v>
                </c:pt>
                <c:pt idx="13">
                  <c:v>-182.13741715335377</c:v>
                </c:pt>
                <c:pt idx="14">
                  <c:v>-166.49783777734</c:v>
                </c:pt>
                <c:pt idx="15">
                  <c:v>-150.53820704831637</c:v>
                </c:pt>
                <c:pt idx="16">
                  <c:v>-134.29037536211348</c:v>
                </c:pt>
                <c:pt idx="17">
                  <c:v>-117.78705478565563</c:v>
                </c:pt>
                <c:pt idx="18">
                  <c:v>-101.06171627403364</c:v>
                </c:pt>
                <c:pt idx="19">
                  <c:v>-84.1484837822573</c:v>
                </c:pt>
                <c:pt idx="20">
                  <c:v>-67.08202571790089</c:v>
                </c:pt>
                <c:pt idx="21">
                  <c:v>-49.897444193173854</c:v>
                </c:pt>
                <c:pt idx="22">
                  <c:v>-32.63016254511829</c:v>
                </c:pt>
                <c:pt idx="23">
                  <c:v>-15.31581160060855</c:v>
                </c:pt>
                <c:pt idx="24">
                  <c:v>2.009884831432464</c:v>
                </c:pt>
                <c:pt idx="25">
                  <c:v>19.311224754714114</c:v>
                </c:pt>
                <c:pt idx="26">
                  <c:v>36.552642580071144</c:v>
                </c:pt>
                <c:pt idx="27">
                  <c:v>53.69882303377558</c:v>
                </c:pt>
                <c:pt idx="28">
                  <c:v>70.71481389704452</c:v>
                </c:pt>
                <c:pt idx="29">
                  <c:v>87.56613709974916</c:v>
                </c:pt>
                <c:pt idx="30">
                  <c:v>104.21889769920433</c:v>
                </c:pt>
                <c:pt idx="31">
                  <c:v>120.63989028497966</c:v>
                </c:pt>
                <c:pt idx="32">
                  <c:v>136.79670236288916</c:v>
                </c:pt>
                <c:pt idx="33">
                  <c:v>152.65781428562346</c:v>
                </c:pt>
                <c:pt idx="34">
                  <c:v>168.19269531381008</c:v>
                </c:pt>
                <c:pt idx="35">
                  <c:v>183.37189540955646</c:v>
                </c:pt>
                <c:pt idx="36">
                  <c:v>198.16713238465297</c:v>
                </c:pt>
                <c:pt idx="37">
                  <c:v>212.551374047483</c:v>
                </c:pt>
                <c:pt idx="38">
                  <c:v>226.49891501622275</c:v>
                </c:pt>
                <c:pt idx="39">
                  <c:v>239.98544789097184</c:v>
                </c:pt>
                <c:pt idx="40">
                  <c:v>252.98812850393648</c:v>
                </c:pt>
                <c:pt idx="41">
                  <c:v>265.48563499455685</c:v>
                </c:pt>
                <c:pt idx="42">
                  <c:v>277.4582204853932</c:v>
                </c:pt>
                <c:pt idx="43">
                  <c:v>288.88775916451766</c:v>
                </c:pt>
                <c:pt idx="44">
                  <c:v>299.7577856109728</c:v>
                </c:pt>
                <c:pt idx="45">
                  <c:v>310.0535272313813</c:v>
                </c:pt>
                <c:pt idx="46">
                  <c:v>319.76192970789486</c:v>
                </c:pt>
                <c:pt idx="47">
                  <c:v>328.87167539018196</c:v>
                </c:pt>
                <c:pt idx="48">
                  <c:v>337.37319459692884</c:v>
                </c:pt>
                <c:pt idx="49">
                  <c:v>345.25866982520324</c:v>
                </c:pt>
                <c:pt idx="50">
                  <c:v>352.5220328988463</c:v>
                </c:pt>
                <c:pt idx="51">
                  <c:v>359.15895511966266</c:v>
                </c:pt>
                <c:pt idx="52">
                  <c:v>365.16683051740796</c:v>
                </c:pt>
                <c:pt idx="53">
                  <c:v>370.5447523262792</c:v>
                </c:pt>
                <c:pt idx="54">
                  <c:v>375.29348284664184</c:v>
                </c:pt>
                <c:pt idx="55">
                  <c:v>379.4154168809227</c:v>
                </c:pt>
                <c:pt idx="56">
                  <c:v>382.9145389618302</c:v>
                </c:pt>
                <c:pt idx="57">
                  <c:v>385.796374619177</c:v>
                </c:pt>
                <c:pt idx="58">
                  <c:v>388.06793595845187</c:v>
                </c:pt>
                <c:pt idx="59">
                  <c:v>389.7376618497816</c:v>
                </c:pt>
                <c:pt idx="60">
                  <c:v>390.815353049928</c:v>
                </c:pt>
                <c:pt idx="61">
                  <c:v>391.3121026023491</c:v>
                </c:pt>
                <c:pt idx="62">
                  <c:v>391.24022188103527</c:v>
                </c:pt>
                <c:pt idx="63">
                  <c:v>390.6131626626827</c:v>
                </c:pt>
                <c:pt idx="64">
                  <c:v>389.44543562873235</c:v>
                </c:pt>
                <c:pt idx="65">
                  <c:v>387.7525257137674</c:v>
                </c:pt>
                <c:pt idx="66">
                  <c:v>385.55080472969075</c:v>
                </c:pt>
                <c:pt idx="67">
                  <c:v>382.85744170590834</c:v>
                </c:pt>
                <c:pt idx="68">
                  <c:v>379.690311394391</c:v>
                </c:pt>
                <c:pt idx="69">
                  <c:v>376.06790139493273</c:v>
                </c:pt>
                <c:pt idx="70">
                  <c:v>372.0092183601353</c:v>
                </c:pt>
                <c:pt idx="71">
                  <c:v>367.53369374162065</c:v>
                </c:pt>
                <c:pt idx="72">
                  <c:v>362.66108953867877</c:v>
                </c:pt>
                <c:pt idx="73">
                  <c:v>357.4114045080309</c:v>
                </c:pt>
                <c:pt idx="74">
                  <c:v>351.8047812886091</c:v>
                </c:pt>
                <c:pt idx="75">
                  <c:v>345.86141488828207</c:v>
                </c:pt>
                <c:pt idx="76">
                  <c:v>339.60146297030474</c:v>
                </c:pt>
                <c:pt idx="77">
                  <c:v>333.044958365997</c:v>
                </c:pt>
                <c:pt idx="78">
                  <c:v>326.2117242268262</c:v>
                </c:pt>
                <c:pt idx="79">
                  <c:v>319.1212922137235</c:v>
                </c:pt>
                <c:pt idx="80">
                  <c:v>311.79282410422366</c:v>
                </c:pt>
                <c:pt idx="81">
                  <c:v>304.2450371789243</c:v>
                </c:pt>
                <c:pt idx="82">
                  <c:v>296.4961337279401</c:v>
                </c:pt>
                <c:pt idx="83">
                  <c:v>288.5637349955791</c:v>
                </c:pt>
                <c:pt idx="84">
                  <c:v>280.46481985748864</c:v>
                </c:pt>
                <c:pt idx="85">
                  <c:v>272.2156684991491</c:v>
                </c:pt>
                <c:pt idx="86">
                  <c:v>263.8318113379487</c:v>
                </c:pt>
                <c:pt idx="87">
                  <c:v>255.32798340327824</c:v>
                </c:pt>
                <c:pt idx="88">
                  <c:v>246.71808436030452</c:v>
                </c:pt>
                <c:pt idx="89">
                  <c:v>238.01514433342064</c:v>
                </c:pt>
                <c:pt idx="90">
                  <c:v>229.23129565501586</c:v>
                </c:pt>
                <c:pt idx="91">
                  <c:v>220.3777506342776</c:v>
                </c:pt>
                <c:pt idx="92">
                  <c:v>211.46478540940845</c:v>
                </c:pt>
                <c:pt idx="93">
                  <c:v>202.50172991504633</c:v>
                </c:pt>
                <c:pt idx="94">
                  <c:v>193.49696396499573</c:v>
                </c:pt>
                <c:pt idx="95">
                  <c:v>184.45791941874666</c:v>
                </c:pt>
                <c:pt idx="96">
                  <c:v>175.3910883688461</c:v>
                </c:pt>
                <c:pt idx="97">
                  <c:v>166.30203725514784</c:v>
                </c:pt>
                <c:pt idx="98">
                  <c:v>157.19542678144592</c:v>
                </c:pt>
                <c:pt idx="99">
                  <c:v>148.07503748015242</c:v>
                </c:pt>
                <c:pt idx="100">
                  <c:v>138.94380074166304</c:v>
                </c:pt>
                <c:pt idx="101">
                  <c:v>129.80383509699024</c:v>
                </c:pt>
                <c:pt idx="102">
                  <c:v>120.65648751529862</c:v>
                </c:pt>
                <c:pt idx="103">
                  <c:v>111.50237945225099</c:v>
                </c:pt>
                <c:pt idx="104">
                  <c:v>102.3414573607282</c:v>
                </c:pt>
                <c:pt idx="105">
                  <c:v>93.17304735260855</c:v>
                </c:pt>
                <c:pt idx="106">
                  <c:v>83.99591367902154</c:v>
                </c:pt>
                <c:pt idx="107">
                  <c:v>74.808320676918</c:v>
                </c:pt>
                <c:pt idx="108">
                  <c:v>65.60809781202072</c:v>
                </c:pt>
                <c:pt idx="109">
                  <c:v>56.39270743233087</c:v>
                </c:pt>
                <c:pt idx="110">
                  <c:v>47.15931483243671</c:v>
                </c:pt>
                <c:pt idx="111">
                  <c:v>37.904860216982165</c:v>
                </c:pt>
                <c:pt idx="112">
                  <c:v>28.626132141840664</c:v>
                </c:pt>
                <c:pt idx="113">
                  <c:v>19.319842003886222</c:v>
                </c:pt>
                <c:pt idx="114">
                  <c:v>9.982699144759273</c:v>
                </c:pt>
                <c:pt idx="115">
                  <c:v>0.6114861307500178</c:v>
                </c:pt>
                <c:pt idx="116">
                  <c:v>-8.796866230144587</c:v>
                </c:pt>
                <c:pt idx="117">
                  <c:v>-18.245204571762542</c:v>
                </c:pt>
                <c:pt idx="118">
                  <c:v>-27.736079788306668</c:v>
                </c:pt>
                <c:pt idx="119">
                  <c:v>-37.271675416657196</c:v>
                </c:pt>
                <c:pt idx="120">
                  <c:v>-46.85373800349651</c:v>
                </c:pt>
                <c:pt idx="121">
                  <c:v>-56.483509868367975</c:v>
                </c:pt>
                <c:pt idx="122">
                  <c:v>-66.16166466178622</c:v>
                </c:pt>
                <c:pt idx="123">
                  <c:v>-75.88824610350024</c:v>
                </c:pt>
                <c:pt idx="124">
                  <c:v>-85.66261026999946</c:v>
                </c:pt>
                <c:pt idx="125">
                  <c:v>-95.48337178249695</c:v>
                </c:pt>
                <c:pt idx="126">
                  <c:v>-105.34835422693226</c:v>
                </c:pt>
                <c:pt idx="127">
                  <c:v>-115.25454511617448</c:v>
                </c:pt>
                <c:pt idx="128">
                  <c:v>-125.19805568163663</c:v>
                </c:pt>
                <c:pt idx="129">
                  <c:v>-135.17408575705934</c:v>
                </c:pt>
                <c:pt idx="130">
                  <c:v>-145.17689399141295</c:v>
                </c:pt>
                <c:pt idx="131">
                  <c:v>-155.19977360082007</c:v>
                </c:pt>
                <c:pt idx="132">
                  <c:v>-165.235033841257</c:v>
                </c:pt>
                <c:pt idx="133">
                  <c:v>-175.27398735467705</c:v>
                </c:pt>
                <c:pt idx="134">
                  <c:v>-185.3069435112689</c:v>
                </c:pt>
                <c:pt idx="135">
                  <c:v>-195.32320783996576</c:v>
                </c:pt>
                <c:pt idx="136">
                  <c:v>-205.31108760819131</c:v>
                </c:pt>
                <c:pt idx="137">
                  <c:v>-215.25790358034143</c:v>
                </c:pt>
                <c:pt idx="138">
                  <c:v>-225.15000795279244</c:v>
                </c:pt>
                <c:pt idx="139">
                  <c:v>-234.9728084314662</c:v>
                </c:pt>
                <c:pt idx="140">
                  <c:v>-244.7107983863227</c:v>
                </c:pt>
                <c:pt idx="141">
                  <c:v>-254.3475929857501</c:v>
                </c:pt>
                <c:pt idx="142">
                  <c:v>-263.86597118282174</c:v>
                </c:pt>
                <c:pt idx="143">
                  <c:v>-273.24792339497066</c:v>
                </c:pt>
                <c:pt idx="144">
                  <c:v>-282.47470468892107</c:v>
                </c:pt>
                <c:pt idx="145">
                  <c:v>-291.52689325386314</c:v>
                </c:pt>
                <c:pt idx="146">
                  <c:v>-300.3844539180197</c:v>
                </c:pt>
                <c:pt idx="147">
                  <c:v>-309.02680643705384</c:v>
                </c:pt>
                <c:pt idx="148">
                  <c:v>-317.432898257349</c:v>
                </c:pt>
                <c:pt idx="149">
                  <c:v>-325.5812814331698</c:v>
                </c:pt>
                <c:pt idx="150">
                  <c:v>-333.45019335422023</c:v>
                </c:pt>
                <c:pt idx="151">
                  <c:v>-341.0176409192572</c:v>
                </c:pt>
                <c:pt idx="152">
                  <c:v>-348.2614877722974</c:v>
                </c:pt>
                <c:pt idx="153">
                  <c:v>-355.15954420066964</c:v>
                </c:pt>
                <c:pt idx="154">
                  <c:v>-361.68965927880583</c:v>
                </c:pt>
                <c:pt idx="155">
                  <c:v>-367.8298148283032</c:v>
                </c:pt>
                <c:pt idx="156">
                  <c:v>-373.5582207534989</c:v>
                </c:pt>
                <c:pt idx="157">
                  <c:v>-378.85341130263055</c:v>
                </c:pt>
                <c:pt idx="158">
                  <c:v>-383.6943417976686</c:v>
                </c:pt>
                <c:pt idx="159">
                  <c:v>-388.06048537112434</c:v>
                </c:pt>
                <c:pt idx="160">
                  <c:v>-391.93192924559946</c:v>
                </c:pt>
                <c:pt idx="161">
                  <c:v>-395.2894700915471</c:v>
                </c:pt>
                <c:pt idx="162">
                  <c:v>-398.11470800069173</c:v>
                </c:pt>
                <c:pt idx="163">
                  <c:v>-400.3901386167686</c:v>
                </c:pt>
                <c:pt idx="164">
                  <c:v>-402.09924297170096</c:v>
                </c:pt>
                <c:pt idx="165">
                  <c:v>-403.2265745839898</c:v>
                </c:pt>
                <c:pt idx="166">
                  <c:v>-403.7578433869164</c:v>
                </c:pt>
                <c:pt idx="167">
                  <c:v>-403.67999606709986</c:v>
                </c:pt>
                <c:pt idx="168">
                  <c:v>-402.9812924089495</c:v>
                </c:pt>
                <c:pt idx="169">
                  <c:v>-401.65137725753397</c:v>
                </c:pt>
                <c:pt idx="170">
                  <c:v>-399.681347731283</c:v>
                </c:pt>
                <c:pt idx="171">
                  <c:v>-397.0638153366449</c:v>
                </c:pt>
                <c:pt idx="172">
                  <c:v>-393.79296265924864</c:v>
                </c:pt>
                <c:pt idx="173">
                  <c:v>-389.8645943301653</c:v>
                </c:pt>
                <c:pt idx="174">
                  <c:v>-385.2761819914012</c:v>
                </c:pt>
                <c:pt idx="175">
                  <c:v>-380.02690301167286</c:v>
                </c:pt>
                <c:pt idx="176">
                  <c:v>-374.11767273168573</c:v>
                </c:pt>
                <c:pt idx="177">
                  <c:v>-367.5511700474145</c:v>
                </c:pt>
                <c:pt idx="178">
                  <c:v>-360.33185617014493</c:v>
                </c:pt>
                <c:pt idx="179">
                  <c:v>-352.46598643312444</c:v>
                </c:pt>
                <c:pt idx="180">
                  <c:v>-343.96161504643135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9760"/>
        <c:axId val="336041442"/>
      </c:scatterChart>
      <c:valAx>
        <c:axId val="33604144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Moment en Nm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1339760"/>
        <c:crosses val="autoZero"/>
        <c:crossBetween val="midCat"/>
      </c:valAx>
      <c:valAx>
        <c:axId val="421339760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336041442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9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Moment Y repère global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My2_Glob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Feuil1!$AO$32:$AO$212</c:f>
              <c:numCache>
                <c:formatCode>0.000</c:formatCode>
                <c:ptCount val="181"/>
                <c:pt idx="0">
                  <c:v>276.7066514453479</c:v>
                </c:pt>
                <c:pt idx="1">
                  <c:v>274.83817406284595</c:v>
                </c:pt>
                <c:pt idx="2">
                  <c:v>272.88722592530297</c:v>
                </c:pt>
                <c:pt idx="3">
                  <c:v>270.85433812657504</c:v>
                </c:pt>
                <c:pt idx="4">
                  <c:v>268.7389210276317</c:v>
                </c:pt>
                <c:pt idx="5">
                  <c:v>266.539279914132</c:v>
                </c:pt>
                <c:pt idx="6">
                  <c:v>264.2526378740443</c:v>
                </c:pt>
                <c:pt idx="7">
                  <c:v>261.8751657660424</c:v>
                </c:pt>
                <c:pt idx="8">
                  <c:v>259.40201911264376</c:v>
                </c:pt>
                <c:pt idx="9">
                  <c:v>256.82738171613005</c:v>
                </c:pt>
                <c:pt idx="10">
                  <c:v>254.14451576037413</c:v>
                </c:pt>
                <c:pt idx="11">
                  <c:v>251.34581812796378</c:v>
                </c:pt>
                <c:pt idx="12">
                  <c:v>248.42288262963066</c:v>
                </c:pt>
                <c:pt idx="13">
                  <c:v>245.3665678121207</c:v>
                </c:pt>
                <c:pt idx="14">
                  <c:v>242.1670699814371</c:v>
                </c:pt>
                <c:pt idx="15">
                  <c:v>238.81400105098584</c:v>
                </c:pt>
                <c:pt idx="16">
                  <c:v>235.29647079870048</c:v>
                </c:pt>
                <c:pt idx="17">
                  <c:v>231.60317309384192</c:v>
                </c:pt>
                <c:pt idx="18">
                  <c:v>227.72247563296946</c:v>
                </c:pt>
                <c:pt idx="19">
                  <c:v>223.6425127056804</c:v>
                </c:pt>
                <c:pt idx="20">
                  <c:v>219.35128049419492</c:v>
                </c:pt>
                <c:pt idx="21">
                  <c:v>214.83673439682258</c:v>
                </c:pt>
                <c:pt idx="22">
                  <c:v>210.08688785383316</c:v>
                </c:pt>
                <c:pt idx="23">
                  <c:v>205.08991214535473</c:v>
                </c:pt>
                <c:pt idx="24">
                  <c:v>199.83423662464972</c:v>
                </c:pt>
                <c:pt idx="25">
                  <c:v>194.30864884653852</c:v>
                </c:pt>
                <c:pt idx="26">
                  <c:v>188.50239404983995</c:v>
                </c:pt>
                <c:pt idx="27">
                  <c:v>182.4052734545122</c:v>
                </c:pt>
                <c:pt idx="28">
                  <c:v>176.00774083867478</c:v>
                </c:pt>
                <c:pt idx="29">
                  <c:v>169.30099686787227</c:v>
                </c:pt>
                <c:pt idx="30">
                  <c:v>162.27708065875373</c:v>
                </c:pt>
                <c:pt idx="31">
                  <c:v>154.92895807175054</c:v>
                </c:pt>
                <c:pt idx="32">
                  <c:v>147.25060624228647</c:v>
                </c:pt>
                <c:pt idx="33">
                  <c:v>139.23709387744987</c:v>
                </c:pt>
                <c:pt idx="34">
                  <c:v>130.88465686485807</c:v>
                </c:pt>
                <c:pt idx="35">
                  <c:v>122.19076876250152</c:v>
                </c:pt>
                <c:pt idx="36">
                  <c:v>113.1542057626146</c:v>
                </c:pt>
                <c:pt idx="37">
                  <c:v>103.7751057489217</c:v>
                </c:pt>
                <c:pt idx="38">
                  <c:v>94.05502109484775</c:v>
                </c:pt>
                <c:pt idx="39">
                  <c:v>83.99696488032279</c:v>
                </c:pt>
                <c:pt idx="40">
                  <c:v>73.60545023649448</c:v>
                </c:pt>
                <c:pt idx="41">
                  <c:v>62.88652256084475</c:v>
                </c:pt>
                <c:pt idx="42">
                  <c:v>51.84778437972289</c:v>
                </c:pt>
                <c:pt idx="43">
                  <c:v>40.49841267099365</c:v>
                </c:pt>
                <c:pt idx="44">
                  <c:v>28.849168496176766</c:v>
                </c:pt>
                <c:pt idx="45">
                  <c:v>16.912398828941445</c:v>
                </c:pt>
                <c:pt idx="46">
                  <c:v>4.702030504948925</c:v>
                </c:pt>
                <c:pt idx="47">
                  <c:v>-7.766443743400567</c:v>
                </c:pt>
                <c:pt idx="48">
                  <c:v>-20.47598716492795</c:v>
                </c:pt>
                <c:pt idx="49">
                  <c:v>-33.40804873905885</c:v>
                </c:pt>
                <c:pt idx="50">
                  <c:v>-46.54260071657452</c:v>
                </c:pt>
                <c:pt idx="51">
                  <c:v>-59.85818383321376</c:v>
                </c:pt>
                <c:pt idx="52">
                  <c:v>-73.33196003963592</c:v>
                </c:pt>
                <c:pt idx="53">
                  <c:v>-86.9397725539846</c:v>
                </c:pt>
                <c:pt idx="54">
                  <c:v>-100.656213006877</c:v>
                </c:pt>
                <c:pt idx="55">
                  <c:v>-114.45469541327503</c:v>
                </c:pt>
                <c:pt idx="56">
                  <c:v>-128.30753667154468</c:v>
                </c:pt>
                <c:pt idx="57">
                  <c:v>-142.18604325725173</c:v>
                </c:pt>
                <c:pt idx="58">
                  <c:v>-156.06060374802627</c:v>
                </c:pt>
                <c:pt idx="59">
                  <c:v>-169.90078678631016</c:v>
                </c:pt>
                <c:pt idx="60">
                  <c:v>-183.67544405913242</c:v>
                </c:pt>
                <c:pt idx="61">
                  <c:v>-197.35281784837116</c:v>
                </c:pt>
                <c:pt idx="62">
                  <c:v>-210.90065268138494</c:v>
                </c:pt>
                <c:pt idx="63">
                  <c:v>-224.286310590529</c:v>
                </c:pt>
                <c:pt idx="64">
                  <c:v>-237.47688947105996</c:v>
                </c:pt>
                <c:pt idx="65">
                  <c:v>-250.43934401032817</c:v>
                </c:pt>
                <c:pt idx="66">
                  <c:v>-263.14060864706397</c:v>
                </c:pt>
                <c:pt idx="67">
                  <c:v>-275.5477220080503</c:v>
                </c:pt>
                <c:pt idx="68">
                  <c:v>-287.6279522605994</c:v>
                </c:pt>
                <c:pt idx="69">
                  <c:v>-299.34892281305196</c:v>
                </c:pt>
                <c:pt idx="70">
                  <c:v>-310.67873779203984</c:v>
                </c:pt>
                <c:pt idx="71">
                  <c:v>-321.5861067244983</c:v>
                </c:pt>
                <c:pt idx="72">
                  <c:v>-332.0404678544081</c:v>
                </c:pt>
                <c:pt idx="73">
                  <c:v>-342.01210952896645</c:v>
                </c:pt>
                <c:pt idx="74">
                  <c:v>-351.47228909632344</c:v>
                </c:pt>
                <c:pt idx="75">
                  <c:v>-360.3933487671204</c:v>
                </c:pt>
                <c:pt idx="76">
                  <c:v>-368.74882790481456</c:v>
                </c:pt>
                <c:pt idx="77">
                  <c:v>-376.51357122508205</c:v>
                </c:pt>
                <c:pt idx="78">
                  <c:v>-383.66383240239804</c:v>
                </c:pt>
                <c:pt idx="79">
                  <c:v>-390.17737260211874</c:v>
                </c:pt>
                <c:pt idx="80">
                  <c:v>-396.0335534789299</c:v>
                </c:pt>
                <c:pt idx="81">
                  <c:v>-401.2134242072812</c:v>
                </c:pt>
                <c:pt idx="82">
                  <c:v>-405.69980213627264</c:v>
                </c:pt>
                <c:pt idx="83">
                  <c:v>-409.4773466902692</c:v>
                </c:pt>
                <c:pt idx="84">
                  <c:v>-412.5326261671612</c:v>
                </c:pt>
                <c:pt idx="85">
                  <c:v>-414.8541771185112</c:v>
                </c:pt>
                <c:pt idx="86">
                  <c:v>-416.43255602967076</c:v>
                </c:pt>
                <c:pt idx="87">
                  <c:v>-417.2603830531678</c:v>
                </c:pt>
                <c:pt idx="88">
                  <c:v>-417.3323775850697</c:v>
                </c:pt>
                <c:pt idx="89">
                  <c:v>-416.6453855114585</c:v>
                </c:pt>
                <c:pt idx="90">
                  <c:v>-415.1983979904239</c:v>
                </c:pt>
                <c:pt idx="91">
                  <c:v>-412.99256167390917</c:v>
                </c:pt>
                <c:pt idx="92">
                  <c:v>-410.0311803131424</c:v>
                </c:pt>
                <c:pt idx="93">
                  <c:v>-406.31970773107554</c:v>
                </c:pt>
                <c:pt idx="94">
                  <c:v>-401.8657321850115</c:v>
                </c:pt>
                <c:pt idx="95">
                  <c:v>-396.6789521822924</c:v>
                </c:pt>
                <c:pt idx="96">
                  <c:v>-390.771143851289</c:v>
                </c:pt>
                <c:pt idx="97">
                  <c:v>-384.15612000884573</c:v>
                </c:pt>
                <c:pt idx="98">
                  <c:v>-376.8496811035737</c:v>
                </c:pt>
                <c:pt idx="99">
                  <c:v>-368.8695582517646</c:v>
                </c:pt>
                <c:pt idx="100">
                  <c:v>-360.2353486190715</c:v>
                </c:pt>
                <c:pt idx="101">
                  <c:v>-350.96844343624997</c:v>
                </c:pt>
                <c:pt idx="102">
                  <c:v>-341.0919489710348</c:v>
                </c:pt>
                <c:pt idx="103">
                  <c:v>-330.63060081048934</c:v>
                </c:pt>
                <c:pt idx="104">
                  <c:v>-319.6106718387132</c:v>
                </c:pt>
                <c:pt idx="105">
                  <c:v>-308.0598743235241</c:v>
                </c:pt>
                <c:pt idx="106">
                  <c:v>-296.00725655248783</c:v>
                </c:pt>
                <c:pt idx="107">
                  <c:v>-283.483094483313</c:v>
                </c:pt>
                <c:pt idx="108">
                  <c:v>-270.5187788960656</c:v>
                </c:pt>
                <c:pt idx="109">
                  <c:v>-257.14669855477376</c:v>
                </c:pt>
                <c:pt idx="110">
                  <c:v>-243.4001199036578</c:v>
                </c:pt>
                <c:pt idx="111">
                  <c:v>-229.31306383843258</c:v>
                </c:pt>
                <c:pt idx="112">
                  <c:v>-214.9201801057067</c:v>
                </c:pt>
                <c:pt idx="113">
                  <c:v>-200.25661989348134</c:v>
                </c:pt>
                <c:pt idx="114">
                  <c:v>-185.35790718303994</c:v>
                </c:pt>
                <c:pt idx="115">
                  <c:v>-170.25980943707577</c:v>
                </c:pt>
                <c:pt idx="116">
                  <c:v>-154.99820820074677</c:v>
                </c:pt>
                <c:pt idx="117">
                  <c:v>-139.60897019141623</c:v>
                </c:pt>
                <c:pt idx="118">
                  <c:v>-124.1278194492038</c:v>
                </c:pt>
                <c:pt idx="119">
                  <c:v>-108.59021111408514</c:v>
                </c:pt>
                <c:pt idx="120">
                  <c:v>-93.03120738621541</c:v>
                </c:pt>
                <c:pt idx="121">
                  <c:v>-77.4853562144747</c:v>
                </c:pt>
                <c:pt idx="122">
                  <c:v>-61.98657324391793</c:v>
                </c:pt>
                <c:pt idx="123">
                  <c:v>-46.56802753604586</c:v>
                </c:pt>
                <c:pt idx="124">
                  <c:v>-31.2620315565721</c:v>
                </c:pt>
                <c:pt idx="125">
                  <c:v>-16.099935903804248</c:v>
                </c:pt>
                <c:pt idx="126">
                  <c:v>-1.1120292269802634</c:v>
                </c:pt>
                <c:pt idx="127">
                  <c:v>13.672556242007984</c:v>
                </c:pt>
                <c:pt idx="128">
                  <c:v>28.225933147955335</c:v>
                </c:pt>
                <c:pt idx="129">
                  <c:v>42.52154109692205</c:v>
                </c:pt>
                <c:pt idx="130">
                  <c:v>56.53422203166578</c:v>
                </c:pt>
                <c:pt idx="131">
                  <c:v>70.24028859653485</c:v>
                </c:pt>
                <c:pt idx="132">
                  <c:v>83.61758522477754</c:v>
                </c:pt>
                <c:pt idx="133">
                  <c:v>96.6455417168458</c:v>
                </c:pt>
                <c:pt idx="134">
                  <c:v>109.3052191148866</c:v>
                </c:pt>
                <c:pt idx="135">
                  <c:v>121.57934771613455</c:v>
                </c:pt>
                <c:pt idx="136">
                  <c:v>133.45235710611382</c:v>
                </c:pt>
                <c:pt idx="137">
                  <c:v>144.91039813123973</c:v>
                </c:pt>
                <c:pt idx="138">
                  <c:v>155.94135676942838</c:v>
                </c:pt>
                <c:pt idx="139">
                  <c:v>166.53485989643815</c:v>
                </c:pt>
                <c:pt idx="140">
                  <c:v>176.68227298473482</c:v>
                </c:pt>
                <c:pt idx="141">
                  <c:v>186.37668981045886</c:v>
                </c:pt>
                <c:pt idx="142">
                  <c:v>195.61291428243965</c:v>
                </c:pt>
                <c:pt idx="143">
                  <c:v>204.38743454491456</c:v>
                </c:pt>
                <c:pt idx="144">
                  <c:v>212.69838954251145</c:v>
                </c:pt>
                <c:pt idx="145">
                  <c:v>220.54552827197256</c:v>
                </c:pt>
                <c:pt idx="146">
                  <c:v>227.9301619798306</c:v>
                </c:pt>
                <c:pt idx="147">
                  <c:v>234.85510959865562</c:v>
                </c:pt>
                <c:pt idx="148">
                  <c:v>241.3246367463949</c:v>
                </c:pt>
                <c:pt idx="149">
                  <c:v>247.34438864358614</c:v>
                </c:pt>
                <c:pt idx="150">
                  <c:v>252.92131733167022</c:v>
                </c:pt>
                <c:pt idx="151">
                  <c:v>258.0636036021586</c:v>
                </c:pt>
                <c:pt idx="152">
                  <c:v>262.78057407085606</c:v>
                </c:pt>
                <c:pt idx="153">
                  <c:v>267.0826138536255</c:v>
                </c:pt>
                <c:pt idx="154">
                  <c:v>270.98107532015337</c:v>
                </c:pt>
                <c:pt idx="155">
                  <c:v>274.4881834197909</c:v>
                </c:pt>
                <c:pt idx="156">
                  <c:v>277.61693808867426</c:v>
                </c:pt>
                <c:pt idx="157">
                  <c:v>280.38101425992403</c:v>
                </c:pt>
                <c:pt idx="158">
                  <c:v>282.794660008726</c:v>
                </c:pt>
                <c:pt idx="159">
                  <c:v>284.8725933714418</c:v>
                </c:pt>
                <c:pt idx="160">
                  <c:v>286.629898382577</c:v>
                </c:pt>
                <c:pt idx="161">
                  <c:v>288.08192087540505</c:v>
                </c:pt>
                <c:pt idx="162">
                  <c:v>289.24416459131174</c:v>
                </c:pt>
                <c:pt idx="163">
                  <c:v>290.1321881394957</c:v>
                </c:pt>
                <c:pt idx="164">
                  <c:v>290.7615033425364</c:v>
                </c:pt>
                <c:pt idx="165">
                  <c:v>291.14747549458247</c:v>
                </c:pt>
                <c:pt idx="166">
                  <c:v>291.3052260475387</c:v>
                </c:pt>
                <c:pt idx="167">
                  <c:v>291.2495382267133</c:v>
                </c:pt>
                <c:pt idx="168">
                  <c:v>290.994766060994</c:v>
                </c:pt>
                <c:pt idx="169">
                  <c:v>290.5547472938327</c:v>
                </c:pt>
                <c:pt idx="170">
                  <c:v>289.9427206202324</c:v>
                </c:pt>
                <c:pt idx="171">
                  <c:v>289.17124767164677</c:v>
                </c:pt>
                <c:pt idx="172">
                  <c:v>288.25214014534265</c:v>
                </c:pt>
                <c:pt idx="173">
                  <c:v>287.19639244746566</c:v>
                </c:pt>
                <c:pt idx="174">
                  <c:v>286.0141201899166</c:v>
                </c:pt>
                <c:pt idx="175">
                  <c:v>284.7145048503509</c:v>
                </c:pt>
                <c:pt idx="176">
                  <c:v>283.30574487229114</c:v>
                </c:pt>
                <c:pt idx="177">
                  <c:v>281.7950134486674</c:v>
                </c:pt>
                <c:pt idx="178">
                  <c:v>280.1884231972301</c:v>
                </c:pt>
                <c:pt idx="179">
                  <c:v>278.4909979003954</c:v>
                </c:pt>
                <c:pt idx="180">
                  <c:v>276.7066514453479</c:v>
                </c:pt>
              </c:numCache>
            </c:numRef>
          </c:yVal>
        </c:ser>
        <c:ser>
          <c:idx val="1"/>
          <c:order val="1"/>
          <c:tx>
            <c:v>My3_Glob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Feuil1!$AP$32:$AP$212</c:f>
              <c:numCache>
                <c:formatCode>0.000</c:formatCode>
                <c:ptCount val="181"/>
                <c:pt idx="0">
                  <c:v>276.7066514453479</c:v>
                </c:pt>
                <c:pt idx="1">
                  <c:v>278.4909979003954</c:v>
                </c:pt>
                <c:pt idx="2">
                  <c:v>280.18842319723007</c:v>
                </c:pt>
                <c:pt idx="3">
                  <c:v>281.7950134486673</c:v>
                </c:pt>
                <c:pt idx="4">
                  <c:v>283.3057448722911</c:v>
                </c:pt>
                <c:pt idx="5">
                  <c:v>284.7145048503509</c:v>
                </c:pt>
                <c:pt idx="6">
                  <c:v>286.0141201899166</c:v>
                </c:pt>
                <c:pt idx="7">
                  <c:v>287.1963924474657</c:v>
                </c:pt>
                <c:pt idx="8">
                  <c:v>288.2521401453427</c:v>
                </c:pt>
                <c:pt idx="9">
                  <c:v>289.1712476716468</c:v>
                </c:pt>
                <c:pt idx="10">
                  <c:v>289.9427206202324</c:v>
                </c:pt>
                <c:pt idx="11">
                  <c:v>290.5547472938327</c:v>
                </c:pt>
                <c:pt idx="12">
                  <c:v>290.994766060994</c:v>
                </c:pt>
                <c:pt idx="13">
                  <c:v>291.24953822671336</c:v>
                </c:pt>
                <c:pt idx="14">
                  <c:v>291.3052260475387</c:v>
                </c:pt>
                <c:pt idx="15">
                  <c:v>291.14747549458247</c:v>
                </c:pt>
                <c:pt idx="16">
                  <c:v>290.76150334253646</c:v>
                </c:pt>
                <c:pt idx="17">
                  <c:v>290.1321881394958</c:v>
                </c:pt>
                <c:pt idx="18">
                  <c:v>289.24416459131174</c:v>
                </c:pt>
                <c:pt idx="19">
                  <c:v>288.08192087540505</c:v>
                </c:pt>
                <c:pt idx="20">
                  <c:v>286.6298983825771</c:v>
                </c:pt>
                <c:pt idx="21">
                  <c:v>284.87259337144184</c:v>
                </c:pt>
                <c:pt idx="22">
                  <c:v>282.79466000872605</c:v>
                </c:pt>
                <c:pt idx="23">
                  <c:v>280.3810142599241</c:v>
                </c:pt>
                <c:pt idx="24">
                  <c:v>277.61693808867426</c:v>
                </c:pt>
                <c:pt idx="25">
                  <c:v>274.488183419791</c:v>
                </c:pt>
                <c:pt idx="26">
                  <c:v>270.98107532015337</c:v>
                </c:pt>
                <c:pt idx="27">
                  <c:v>267.08261385362556</c:v>
                </c:pt>
                <c:pt idx="28">
                  <c:v>262.7805740708561</c:v>
                </c:pt>
                <c:pt idx="29">
                  <c:v>258.0636036021585</c:v>
                </c:pt>
                <c:pt idx="30">
                  <c:v>252.92131733167048</c:v>
                </c:pt>
                <c:pt idx="31">
                  <c:v>247.34438864358617</c:v>
                </c:pt>
                <c:pt idx="32">
                  <c:v>241.324636746395</c:v>
                </c:pt>
                <c:pt idx="33">
                  <c:v>234.85510959865562</c:v>
                </c:pt>
                <c:pt idx="34">
                  <c:v>227.93016197983084</c:v>
                </c:pt>
                <c:pt idx="35">
                  <c:v>220.54552827197287</c:v>
                </c:pt>
                <c:pt idx="36">
                  <c:v>212.69838954251156</c:v>
                </c:pt>
                <c:pt idx="37">
                  <c:v>204.3874345449145</c:v>
                </c:pt>
                <c:pt idx="38">
                  <c:v>195.61291428243953</c:v>
                </c:pt>
                <c:pt idx="39">
                  <c:v>186.37668981045877</c:v>
                </c:pt>
                <c:pt idx="40">
                  <c:v>176.68227298473494</c:v>
                </c:pt>
                <c:pt idx="41">
                  <c:v>166.53485989643832</c:v>
                </c:pt>
                <c:pt idx="42">
                  <c:v>155.94135676942855</c:v>
                </c:pt>
                <c:pt idx="43">
                  <c:v>144.91039813124016</c:v>
                </c:pt>
                <c:pt idx="44">
                  <c:v>133.45235710611428</c:v>
                </c:pt>
                <c:pt idx="45">
                  <c:v>121.57934771613473</c:v>
                </c:pt>
                <c:pt idx="46">
                  <c:v>109.30521911488646</c:v>
                </c:pt>
                <c:pt idx="47">
                  <c:v>96.64554171684598</c:v>
                </c:pt>
                <c:pt idx="48">
                  <c:v>83.61758522477771</c:v>
                </c:pt>
                <c:pt idx="49">
                  <c:v>70.24028859653471</c:v>
                </c:pt>
                <c:pt idx="50">
                  <c:v>56.53422203166595</c:v>
                </c:pt>
                <c:pt idx="51">
                  <c:v>42.521541096922256</c:v>
                </c:pt>
                <c:pt idx="52">
                  <c:v>28.225933147955914</c:v>
                </c:pt>
                <c:pt idx="53">
                  <c:v>13.67255624200816</c:v>
                </c:pt>
                <c:pt idx="54">
                  <c:v>-1.112029226980036</c:v>
                </c:pt>
                <c:pt idx="55">
                  <c:v>-16.09993590380363</c:v>
                </c:pt>
                <c:pt idx="56">
                  <c:v>-31.26203155657189</c:v>
                </c:pt>
                <c:pt idx="57">
                  <c:v>-46.568027536046</c:v>
                </c:pt>
                <c:pt idx="58">
                  <c:v>-61.986573243917725</c:v>
                </c:pt>
                <c:pt idx="59">
                  <c:v>-77.4853562144745</c:v>
                </c:pt>
                <c:pt idx="60">
                  <c:v>-93.03120738621566</c:v>
                </c:pt>
                <c:pt idx="61">
                  <c:v>-108.59021111408491</c:v>
                </c:pt>
                <c:pt idx="62">
                  <c:v>-124.12781944920353</c:v>
                </c:pt>
                <c:pt idx="63">
                  <c:v>-139.60897019141564</c:v>
                </c:pt>
                <c:pt idx="64">
                  <c:v>-154.99820820074657</c:v>
                </c:pt>
                <c:pt idx="65">
                  <c:v>-170.25980943707563</c:v>
                </c:pt>
                <c:pt idx="66">
                  <c:v>-185.3579071830393</c:v>
                </c:pt>
                <c:pt idx="67">
                  <c:v>-200.2566198934808</c:v>
                </c:pt>
                <c:pt idx="68">
                  <c:v>-214.92018010570652</c:v>
                </c:pt>
                <c:pt idx="69">
                  <c:v>-229.31306383843273</c:v>
                </c:pt>
                <c:pt idx="70">
                  <c:v>-243.40011990365767</c:v>
                </c:pt>
                <c:pt idx="71">
                  <c:v>-257.14669855477354</c:v>
                </c:pt>
                <c:pt idx="72">
                  <c:v>-270.51877889606584</c:v>
                </c:pt>
                <c:pt idx="73">
                  <c:v>-283.4830944833125</c:v>
                </c:pt>
                <c:pt idx="74">
                  <c:v>-296.0072565524874</c:v>
                </c:pt>
                <c:pt idx="75">
                  <c:v>-308.0598743235237</c:v>
                </c:pt>
                <c:pt idx="76">
                  <c:v>-319.61067183871296</c:v>
                </c:pt>
                <c:pt idx="77">
                  <c:v>-330.6306008104894</c:v>
                </c:pt>
                <c:pt idx="78">
                  <c:v>-341.09194897103475</c:v>
                </c:pt>
                <c:pt idx="79">
                  <c:v>-350.9684434362498</c:v>
                </c:pt>
                <c:pt idx="80">
                  <c:v>-360.2353486190716</c:v>
                </c:pt>
                <c:pt idx="81">
                  <c:v>-368.86955825176443</c:v>
                </c:pt>
                <c:pt idx="82">
                  <c:v>-376.84968110357363</c:v>
                </c:pt>
                <c:pt idx="83">
                  <c:v>-384.15612000884585</c:v>
                </c:pt>
                <c:pt idx="84">
                  <c:v>-390.7711438512888</c:v>
                </c:pt>
                <c:pt idx="85">
                  <c:v>-396.6789521822923</c:v>
                </c:pt>
                <c:pt idx="86">
                  <c:v>-401.8657321850114</c:v>
                </c:pt>
                <c:pt idx="87">
                  <c:v>-406.3197077310755</c:v>
                </c:pt>
                <c:pt idx="88">
                  <c:v>-410.03118031314244</c:v>
                </c:pt>
                <c:pt idx="89">
                  <c:v>-412.99256167390905</c:v>
                </c:pt>
                <c:pt idx="90">
                  <c:v>-415.1983979904239</c:v>
                </c:pt>
                <c:pt idx="91">
                  <c:v>-416.64538551145847</c:v>
                </c:pt>
                <c:pt idx="92">
                  <c:v>-417.3323775850696</c:v>
                </c:pt>
                <c:pt idx="93">
                  <c:v>-417.2603830531678</c:v>
                </c:pt>
                <c:pt idx="94">
                  <c:v>-416.43255602967076</c:v>
                </c:pt>
                <c:pt idx="95">
                  <c:v>-414.8541771185112</c:v>
                </c:pt>
                <c:pt idx="96">
                  <c:v>-412.5326261671612</c:v>
                </c:pt>
                <c:pt idx="97">
                  <c:v>-409.4773466902691</c:v>
                </c:pt>
                <c:pt idx="98">
                  <c:v>-405.6998021362727</c:v>
                </c:pt>
                <c:pt idx="99">
                  <c:v>-401.21342420728126</c:v>
                </c:pt>
                <c:pt idx="100">
                  <c:v>-396.0335534789298</c:v>
                </c:pt>
                <c:pt idx="101">
                  <c:v>-390.1773726021188</c:v>
                </c:pt>
                <c:pt idx="102">
                  <c:v>-383.66383240239816</c:v>
                </c:pt>
                <c:pt idx="103">
                  <c:v>-376.513571225082</c:v>
                </c:pt>
                <c:pt idx="104">
                  <c:v>-368.7488279048147</c:v>
                </c:pt>
                <c:pt idx="105">
                  <c:v>-360.39334876712076</c:v>
                </c:pt>
                <c:pt idx="106">
                  <c:v>-351.4722890963237</c:v>
                </c:pt>
                <c:pt idx="107">
                  <c:v>-342.0121095289668</c:v>
                </c:pt>
                <c:pt idx="108">
                  <c:v>-332.0404678544079</c:v>
                </c:pt>
                <c:pt idx="109">
                  <c:v>-321.58610672449845</c:v>
                </c:pt>
                <c:pt idx="110">
                  <c:v>-310.67873779204</c:v>
                </c:pt>
                <c:pt idx="111">
                  <c:v>-299.34892281305184</c:v>
                </c:pt>
                <c:pt idx="112">
                  <c:v>-287.62795226059956</c:v>
                </c:pt>
                <c:pt idx="113">
                  <c:v>-275.54772200805075</c:v>
                </c:pt>
                <c:pt idx="114">
                  <c:v>-263.1406086470645</c:v>
                </c:pt>
                <c:pt idx="115">
                  <c:v>-250.43934401032826</c:v>
                </c:pt>
                <c:pt idx="116">
                  <c:v>-237.47688947106013</c:v>
                </c:pt>
                <c:pt idx="117">
                  <c:v>-224.28631059052955</c:v>
                </c:pt>
                <c:pt idx="118">
                  <c:v>-210.90065268138517</c:v>
                </c:pt>
                <c:pt idx="119">
                  <c:v>-197.35281784837133</c:v>
                </c:pt>
                <c:pt idx="120">
                  <c:v>-183.6754440591322</c:v>
                </c:pt>
                <c:pt idx="121">
                  <c:v>-169.9007867863104</c:v>
                </c:pt>
                <c:pt idx="122">
                  <c:v>-156.06060374802647</c:v>
                </c:pt>
                <c:pt idx="123">
                  <c:v>-142.18604325725155</c:v>
                </c:pt>
                <c:pt idx="124">
                  <c:v>-128.30753667154485</c:v>
                </c:pt>
                <c:pt idx="125">
                  <c:v>-114.4546954132756</c:v>
                </c:pt>
                <c:pt idx="126">
                  <c:v>-100.65621300687722</c:v>
                </c:pt>
                <c:pt idx="127">
                  <c:v>-86.93977255398477</c:v>
                </c:pt>
                <c:pt idx="128">
                  <c:v>-73.33196003963647</c:v>
                </c:pt>
                <c:pt idx="129">
                  <c:v>-59.85818383321395</c:v>
                </c:pt>
                <c:pt idx="130">
                  <c:v>-46.5426007165747</c:v>
                </c:pt>
                <c:pt idx="131">
                  <c:v>-33.4080487390587</c:v>
                </c:pt>
                <c:pt idx="132">
                  <c:v>-20.475987164928114</c:v>
                </c:pt>
                <c:pt idx="133">
                  <c:v>-7.766443743400726</c:v>
                </c:pt>
                <c:pt idx="134">
                  <c:v>4.702030504949073</c:v>
                </c:pt>
                <c:pt idx="135">
                  <c:v>16.912398828941274</c:v>
                </c:pt>
                <c:pt idx="136">
                  <c:v>28.84916849617629</c:v>
                </c:pt>
                <c:pt idx="137">
                  <c:v>40.49841267099319</c:v>
                </c:pt>
                <c:pt idx="138">
                  <c:v>51.847784379722725</c:v>
                </c:pt>
                <c:pt idx="139">
                  <c:v>62.8865225608446</c:v>
                </c:pt>
                <c:pt idx="140">
                  <c:v>73.60545023649433</c:v>
                </c:pt>
                <c:pt idx="141">
                  <c:v>83.99696488032288</c:v>
                </c:pt>
                <c:pt idx="142">
                  <c:v>94.05502109484786</c:v>
                </c:pt>
                <c:pt idx="143">
                  <c:v>103.77510574892176</c:v>
                </c:pt>
                <c:pt idx="144">
                  <c:v>113.1542057626145</c:v>
                </c:pt>
                <c:pt idx="145">
                  <c:v>122.19076876250111</c:v>
                </c:pt>
                <c:pt idx="146">
                  <c:v>130.88465686485776</c:v>
                </c:pt>
                <c:pt idx="147">
                  <c:v>139.23709387744992</c:v>
                </c:pt>
                <c:pt idx="148">
                  <c:v>147.25060624228635</c:v>
                </c:pt>
                <c:pt idx="149">
                  <c:v>154.92895807175043</c:v>
                </c:pt>
                <c:pt idx="150">
                  <c:v>162.2770806587534</c:v>
                </c:pt>
                <c:pt idx="151">
                  <c:v>169.30099686787239</c:v>
                </c:pt>
                <c:pt idx="152">
                  <c:v>176.00774083867475</c:v>
                </c:pt>
                <c:pt idx="153">
                  <c:v>182.4052734545121</c:v>
                </c:pt>
                <c:pt idx="154">
                  <c:v>188.5023940498399</c:v>
                </c:pt>
                <c:pt idx="155">
                  <c:v>194.30864884653832</c:v>
                </c:pt>
                <c:pt idx="156">
                  <c:v>199.83423662464972</c:v>
                </c:pt>
                <c:pt idx="157">
                  <c:v>205.0899121453546</c:v>
                </c:pt>
                <c:pt idx="158">
                  <c:v>210.0868878538331</c:v>
                </c:pt>
                <c:pt idx="159">
                  <c:v>214.83673439682244</c:v>
                </c:pt>
                <c:pt idx="160">
                  <c:v>219.35128049419473</c:v>
                </c:pt>
                <c:pt idx="161">
                  <c:v>223.6425127056803</c:v>
                </c:pt>
                <c:pt idx="162">
                  <c:v>227.72247563296943</c:v>
                </c:pt>
                <c:pt idx="163">
                  <c:v>231.60317309384183</c:v>
                </c:pt>
                <c:pt idx="164">
                  <c:v>235.2964707987005</c:v>
                </c:pt>
                <c:pt idx="165">
                  <c:v>238.8140010509859</c:v>
                </c:pt>
                <c:pt idx="166">
                  <c:v>242.1670699814371</c:v>
                </c:pt>
                <c:pt idx="167">
                  <c:v>245.36656781212056</c:v>
                </c:pt>
                <c:pt idx="168">
                  <c:v>248.42288262963058</c:v>
                </c:pt>
                <c:pt idx="169">
                  <c:v>251.3458181279637</c:v>
                </c:pt>
                <c:pt idx="170">
                  <c:v>254.14451576037413</c:v>
                </c:pt>
                <c:pt idx="171">
                  <c:v>256.82738171613</c:v>
                </c:pt>
                <c:pt idx="172">
                  <c:v>259.4020191126438</c:v>
                </c:pt>
                <c:pt idx="173">
                  <c:v>261.87516576604236</c:v>
                </c:pt>
                <c:pt idx="174">
                  <c:v>264.2526378740443</c:v>
                </c:pt>
                <c:pt idx="175">
                  <c:v>266.539279914132</c:v>
                </c:pt>
                <c:pt idx="176">
                  <c:v>268.73892102763176</c:v>
                </c:pt>
                <c:pt idx="177">
                  <c:v>270.85433812657493</c:v>
                </c:pt>
                <c:pt idx="178">
                  <c:v>272.8872259253028</c:v>
                </c:pt>
                <c:pt idx="179">
                  <c:v>274.83817406284595</c:v>
                </c:pt>
                <c:pt idx="180">
                  <c:v>276.7066514453479</c:v>
                </c:pt>
              </c:numCache>
            </c:numRef>
          </c:yVal>
        </c:ser>
        <c:ser>
          <c:idx val="2"/>
          <c:order val="2"/>
          <c:tx>
            <c:v>My4_Glob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3"/>
              </a:solidFill>
              <a:ln xmlns:a="http://schemas.openxmlformats.org/drawingml/2006/main" cmpd="sng">
                <a:solidFill>
                  <a:schemeClr val="accent3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Feuil1!$AQ$32:$AQ$212</c:f>
              <c:numCache>
                <c:formatCode>0.000</c:formatCode>
                <c:ptCount val="181"/>
                <c:pt idx="0">
                  <c:v>830.3967959808479</c:v>
                </c:pt>
                <c:pt idx="1">
                  <c:v>825.9851233478181</c:v>
                </c:pt>
                <c:pt idx="2">
                  <c:v>820.0623606262848</c:v>
                </c:pt>
                <c:pt idx="3">
                  <c:v>812.639415462151</c:v>
                </c:pt>
                <c:pt idx="4">
                  <c:v>803.7314643700228</c:v>
                </c:pt>
                <c:pt idx="5">
                  <c:v>793.3579043645846</c:v>
                </c:pt>
                <c:pt idx="6">
                  <c:v>781.5422877025777</c:v>
                </c:pt>
                <c:pt idx="7">
                  <c:v>768.3122400176918</c:v>
                </c:pt>
                <c:pt idx="8">
                  <c:v>753.6993622071476</c:v>
                </c:pt>
                <c:pt idx="9">
                  <c:v>737.739116503529</c:v>
                </c:pt>
                <c:pt idx="10">
                  <c:v>720.4706972381432</c:v>
                </c:pt>
                <c:pt idx="11">
                  <c:v>701.9368868724998</c:v>
                </c:pt>
                <c:pt idx="12">
                  <c:v>682.1838979420693</c:v>
                </c:pt>
                <c:pt idx="13">
                  <c:v>661.2612016209787</c:v>
                </c:pt>
                <c:pt idx="14">
                  <c:v>639.2213436774259</c:v>
                </c:pt>
                <c:pt idx="15">
                  <c:v>616.1197486470478</c:v>
                </c:pt>
                <c:pt idx="16">
                  <c:v>592.0145131049754</c:v>
                </c:pt>
                <c:pt idx="17">
                  <c:v>566.9661889666253</c:v>
                </c:pt>
                <c:pt idx="18">
                  <c:v>541.0375577921317</c:v>
                </c:pt>
                <c:pt idx="19">
                  <c:v>514.2933971095478</c:v>
                </c:pt>
                <c:pt idx="20">
                  <c:v>486.8002398073156</c:v>
                </c:pt>
                <c:pt idx="21">
                  <c:v>458.62612767686545</c:v>
                </c:pt>
                <c:pt idx="22">
                  <c:v>429.8403602114134</c:v>
                </c:pt>
                <c:pt idx="23">
                  <c:v>400.51323978696246</c:v>
                </c:pt>
                <c:pt idx="24">
                  <c:v>370.71581436607914</c:v>
                </c:pt>
                <c:pt idx="25">
                  <c:v>340.5196188741513</c:v>
                </c:pt>
                <c:pt idx="26">
                  <c:v>309.9964164014928</c:v>
                </c:pt>
                <c:pt idx="27">
                  <c:v>279.2179403828315</c:v>
                </c:pt>
                <c:pt idx="28">
                  <c:v>248.2556388984077</c:v>
                </c:pt>
                <c:pt idx="29">
                  <c:v>217.18042222817</c:v>
                </c:pt>
                <c:pt idx="30">
                  <c:v>186.0624147724313</c:v>
                </c:pt>
                <c:pt idx="31">
                  <c:v>154.9707124289494</c:v>
                </c:pt>
                <c:pt idx="32">
                  <c:v>123.97314648783545</c:v>
                </c:pt>
                <c:pt idx="33">
                  <c:v>93.13605507209172</c:v>
                </c:pt>
                <c:pt idx="34">
                  <c:v>62.524063113143804</c:v>
                </c:pt>
                <c:pt idx="35">
                  <c:v>32.19987180760787</c:v>
                </c:pt>
                <c:pt idx="36">
                  <c:v>2.2240584539602994</c:v>
                </c:pt>
                <c:pt idx="37">
                  <c:v>-27.345112484016557</c:v>
                </c:pt>
                <c:pt idx="38">
                  <c:v>-56.45186629591142</c:v>
                </c:pt>
                <c:pt idx="39">
                  <c:v>-85.04308219384376</c:v>
                </c:pt>
                <c:pt idx="40">
                  <c:v>-113.06844406333155</c:v>
                </c:pt>
                <c:pt idx="41">
                  <c:v>-140.48057719306922</c:v>
                </c:pt>
                <c:pt idx="42">
                  <c:v>-167.23517044955508</c:v>
                </c:pt>
                <c:pt idx="43">
                  <c:v>-193.29108343369177</c:v>
                </c:pt>
                <c:pt idx="44">
                  <c:v>-218.610438229773</c:v>
                </c:pt>
                <c:pt idx="45">
                  <c:v>-243.15869543226927</c:v>
                </c:pt>
                <c:pt idx="46">
                  <c:v>-266.90471421222793</c:v>
                </c:pt>
                <c:pt idx="47">
                  <c:v>-289.82079626248014</c:v>
                </c:pt>
                <c:pt idx="48">
                  <c:v>-311.8827135388571</c:v>
                </c:pt>
                <c:pt idx="49">
                  <c:v>-333.0697197928769</c:v>
                </c:pt>
                <c:pt idx="50">
                  <c:v>-353.3645459694699</c:v>
                </c:pt>
                <c:pt idx="51">
                  <c:v>-372.75337962091714</c:v>
                </c:pt>
                <c:pt idx="52">
                  <c:v>-391.22582856487907</c:v>
                </c:pt>
                <c:pt idx="53">
                  <c:v>-408.77486908982905</c:v>
                </c:pt>
                <c:pt idx="54">
                  <c:v>-425.396779085023</c:v>
                </c:pt>
                <c:pt idx="55">
                  <c:v>-441.09105654394546</c:v>
                </c:pt>
                <c:pt idx="56">
                  <c:v>-455.8603239596617</c:v>
                </c:pt>
                <c:pt idx="57">
                  <c:v>-469.71021919731123</c:v>
                </c:pt>
                <c:pt idx="58">
                  <c:v>-482.6492734927899</c:v>
                </c:pt>
                <c:pt idx="59">
                  <c:v>-494.6887772871722</c:v>
                </c:pt>
                <c:pt idx="60">
                  <c:v>-505.8426346633406</c:v>
                </c:pt>
                <c:pt idx="61">
                  <c:v>-516.127207204317</c:v>
                </c:pt>
                <c:pt idx="62">
                  <c:v>-525.5611481417121</c:v>
                </c:pt>
                <c:pt idx="63">
                  <c:v>-534.165227707251</c:v>
                </c:pt>
                <c:pt idx="64">
                  <c:v>-541.9621506403067</c:v>
                </c:pt>
                <c:pt idx="65">
                  <c:v>-548.976366839582</c:v>
                </c:pt>
                <c:pt idx="66">
                  <c:v>-555.2338761773486</c:v>
                </c:pt>
                <c:pt idx="67">
                  <c:v>-560.7620285198481</c:v>
                </c:pt>
                <c:pt idx="68">
                  <c:v>-565.589320017452</c:v>
                </c:pt>
                <c:pt idx="69">
                  <c:v>-569.7451867428836</c:v>
                </c:pt>
                <c:pt idx="70">
                  <c:v>-573.2597967651542</c:v>
                </c:pt>
                <c:pt idx="71">
                  <c:v>-576.1638417508101</c:v>
                </c:pt>
                <c:pt idx="72">
                  <c:v>-578.4883291826235</c:v>
                </c:pt>
                <c:pt idx="73">
                  <c:v>-580.2643762789914</c:v>
                </c:pt>
                <c:pt idx="74">
                  <c:v>-581.5230066850729</c:v>
                </c:pt>
                <c:pt idx="75">
                  <c:v>-582.2949509891649</c:v>
                </c:pt>
                <c:pt idx="76">
                  <c:v>-582.6104520950773</c:v>
                </c:pt>
                <c:pt idx="77">
                  <c:v>-582.4990764534266</c:v>
                </c:pt>
                <c:pt idx="78">
                  <c:v>-581.989532121988</c:v>
                </c:pt>
                <c:pt idx="79">
                  <c:v>-581.1094945876654</c:v>
                </c:pt>
                <c:pt idx="80">
                  <c:v>-579.8854412404647</c:v>
                </c:pt>
                <c:pt idx="81">
                  <c:v>-578.3424953432935</c:v>
                </c:pt>
                <c:pt idx="82">
                  <c:v>-576.5042802906854</c:v>
                </c:pt>
                <c:pt idx="83">
                  <c:v>-574.3927848949314</c:v>
                </c:pt>
                <c:pt idx="84">
                  <c:v>-572.0282403798332</c:v>
                </c:pt>
                <c:pt idx="85">
                  <c:v>-569.4290097007018</c:v>
                </c:pt>
                <c:pt idx="86">
                  <c:v>-566.6114897445823</c:v>
                </c:pt>
                <c:pt idx="87">
                  <c:v>-563.5900268973347</c:v>
                </c:pt>
                <c:pt idx="88">
                  <c:v>-560.3768463944601</c:v>
                </c:pt>
                <c:pt idx="89">
                  <c:v>-556.9819958007907</c:v>
                </c:pt>
                <c:pt idx="90">
                  <c:v>-553.4133028906958</c:v>
                </c:pt>
                <c:pt idx="91">
                  <c:v>-549.6763481256919</c:v>
                </c:pt>
                <c:pt idx="92">
                  <c:v>-545.7744518506059</c:v>
                </c:pt>
                <c:pt idx="93">
                  <c:v>-541.7086762531501</c:v>
                </c:pt>
                <c:pt idx="94">
                  <c:v>-537.4778420552634</c:v>
                </c:pt>
                <c:pt idx="95">
                  <c:v>-533.078559828264</c:v>
                </c:pt>
                <c:pt idx="96">
                  <c:v>-528.5052757480886</c:v>
                </c:pt>
                <c:pt idx="97">
                  <c:v>-523.7503315320848</c:v>
                </c:pt>
                <c:pt idx="98">
                  <c:v>-518.8040382252875</c:v>
                </c:pt>
                <c:pt idx="99">
                  <c:v>-513.6547634322601</c:v>
                </c:pt>
                <c:pt idx="100">
                  <c:v>-508.28903152074827</c:v>
                </c:pt>
                <c:pt idx="101">
                  <c:v>-502.69163625592756</c:v>
                </c:pt>
                <c:pt idx="102">
                  <c:v>-496.8457652592613</c:v>
                </c:pt>
                <c:pt idx="103">
                  <c:v>-490.7331356242414</c:v>
                </c:pt>
                <c:pt idx="104">
                  <c:v>-484.3341399628742</c:v>
                </c:pt>
                <c:pt idx="105">
                  <c:v>-477.6280021019717</c:v>
                </c:pt>
                <c:pt idx="106">
                  <c:v>-470.59294159740097</c:v>
                </c:pt>
                <c:pt idx="107">
                  <c:v>-463.20634618768383</c:v>
                </c:pt>
                <c:pt idx="108">
                  <c:v>-455.4449512659389</c:v>
                </c:pt>
                <c:pt idx="109">
                  <c:v>-447.2850254113608</c:v>
                </c:pt>
                <c:pt idx="110">
                  <c:v>-438.70256098838985</c:v>
                </c:pt>
                <c:pt idx="111">
                  <c:v>-429.67346879364516</c:v>
                </c:pt>
                <c:pt idx="112">
                  <c:v>-420.1737757076663</c:v>
                </c:pt>
                <c:pt idx="113">
                  <c:v>-410.17982429070946</c:v>
                </c:pt>
                <c:pt idx="114">
                  <c:v>-399.66847324929944</c:v>
                </c:pt>
                <c:pt idx="115">
                  <c:v>-388.61729769307703</c:v>
                </c:pt>
                <c:pt idx="116">
                  <c:v>-377.0047880996799</c:v>
                </c:pt>
                <c:pt idx="117">
                  <c:v>-364.8105469090244</c:v>
                </c:pt>
                <c:pt idx="118">
                  <c:v>-352.01548167734956</c:v>
                </c:pt>
                <c:pt idx="119">
                  <c:v>-338.60199373574454</c:v>
                </c:pt>
                <c:pt idx="120">
                  <c:v>-324.55416131750746</c:v>
                </c:pt>
                <c:pt idx="121">
                  <c:v>-309.8579161435011</c:v>
                </c:pt>
                <c:pt idx="122">
                  <c:v>-294.50121248457293</c:v>
                </c:pt>
                <c:pt idx="123">
                  <c:v>-278.47418775489973</c:v>
                </c:pt>
                <c:pt idx="124">
                  <c:v>-261.76931372971615</c:v>
                </c:pt>
                <c:pt idx="125">
                  <c:v>-244.38153752500304</c:v>
                </c:pt>
                <c:pt idx="126">
                  <c:v>-226.3084115252292</c:v>
                </c:pt>
                <c:pt idx="127">
                  <c:v>-207.5502114978434</c:v>
                </c:pt>
                <c:pt idx="128">
                  <c:v>-188.1100421896955</c:v>
                </c:pt>
                <c:pt idx="129">
                  <c:v>-167.99392976064559</c:v>
                </c:pt>
                <c:pt idx="130">
                  <c:v>-147.21090047298895</c:v>
                </c:pt>
                <c:pt idx="131">
                  <c:v>-125.7730451216895</c:v>
                </c:pt>
                <c:pt idx="132">
                  <c:v>-103.69556875944578</c:v>
                </c:pt>
                <c:pt idx="133">
                  <c:v>-80.9968253419873</c:v>
                </c:pt>
                <c:pt idx="134">
                  <c:v>-57.69833699235353</c:v>
                </c:pt>
                <c:pt idx="135">
                  <c:v>-33.82479765788289</c:v>
                </c:pt>
                <c:pt idx="136">
                  <c:v>-9.40406100989785</c:v>
                </c:pt>
                <c:pt idx="137">
                  <c:v>15.532887486801133</c:v>
                </c:pt>
                <c:pt idx="138">
                  <c:v>40.9519743298559</c:v>
                </c:pt>
                <c:pt idx="139">
                  <c:v>66.8160974781177</c:v>
                </c:pt>
                <c:pt idx="140">
                  <c:v>93.08520143314904</c:v>
                </c:pt>
                <c:pt idx="141">
                  <c:v>119.71636766642752</c:v>
                </c:pt>
                <c:pt idx="142">
                  <c:v>146.66392007927183</c:v>
                </c:pt>
                <c:pt idx="143">
                  <c:v>173.8795451079692</c:v>
                </c:pt>
                <c:pt idx="144">
                  <c:v>201.312426013754</c:v>
                </c:pt>
                <c:pt idx="145">
                  <c:v>228.90939082655007</c:v>
                </c:pt>
                <c:pt idx="146">
                  <c:v>256.61507334308936</c:v>
                </c:pt>
                <c:pt idx="147">
                  <c:v>284.37208651450345</c:v>
                </c:pt>
                <c:pt idx="148">
                  <c:v>312.12120749605253</c:v>
                </c:pt>
                <c:pt idx="149">
                  <c:v>339.8015735726203</c:v>
                </c:pt>
                <c:pt idx="150">
                  <c:v>367.35088811826483</c:v>
                </c:pt>
                <c:pt idx="151">
                  <c:v>394.7056356967423</c:v>
                </c:pt>
                <c:pt idx="152">
                  <c:v>421.8013053627699</c:v>
                </c:pt>
                <c:pt idx="153">
                  <c:v>448.572621181058</c:v>
                </c:pt>
                <c:pt idx="154">
                  <c:v>474.9537789421199</c:v>
                </c:pt>
                <c:pt idx="155">
                  <c:v>500.87868802065634</c:v>
                </c:pt>
                <c:pt idx="156">
                  <c:v>526.2812172941279</c:v>
                </c:pt>
                <c:pt idx="157">
                  <c:v>551.0954440161006</c:v>
                </c:pt>
                <c:pt idx="158">
                  <c:v>575.2559045211988</c:v>
                </c:pt>
                <c:pt idx="159">
                  <c:v>598.6978456261039</c:v>
                </c:pt>
                <c:pt idx="160">
                  <c:v>621.3574755840797</c:v>
                </c:pt>
                <c:pt idx="161">
                  <c:v>643.1722134489966</c:v>
                </c:pt>
                <c:pt idx="162">
                  <c:v>664.0809357088162</c:v>
                </c:pt>
                <c:pt idx="163">
                  <c:v>684.0242190579329</c:v>
                </c:pt>
                <c:pt idx="164">
                  <c:v>702.9445781926469</c:v>
                </c:pt>
                <c:pt idx="165">
                  <c:v>720.7866975342408</c:v>
                </c:pt>
                <c:pt idx="166">
                  <c:v>737.4976558096291</c:v>
                </c:pt>
                <c:pt idx="167">
                  <c:v>753.0271424501641</c:v>
                </c:pt>
                <c:pt idx="168">
                  <c:v>767.3276648047961</c:v>
                </c:pt>
                <c:pt idx="169">
                  <c:v>780.3547452042375</c:v>
                </c:pt>
                <c:pt idx="170">
                  <c:v>792.0671069578598</c:v>
                </c:pt>
                <c:pt idx="171">
                  <c:v>802.4268484145624</c:v>
                </c:pt>
                <c:pt idx="172">
                  <c:v>811.3996042725453</c:v>
                </c:pt>
                <c:pt idx="173">
                  <c:v>818.9546933805384</c:v>
                </c:pt>
                <c:pt idx="174">
                  <c:v>825.0652523343224</c:v>
                </c:pt>
                <c:pt idx="175">
                  <c:v>829.7083542370224</c:v>
                </c:pt>
                <c:pt idx="176">
                  <c:v>832.8651120593415</c:v>
                </c:pt>
                <c:pt idx="177">
                  <c:v>834.5207661063356</c:v>
                </c:pt>
                <c:pt idx="178">
                  <c:v>834.6647551701394</c:v>
                </c:pt>
                <c:pt idx="179">
                  <c:v>833.290771022917</c:v>
                </c:pt>
                <c:pt idx="180">
                  <c:v>830.3967959808479</c:v>
                </c:pt>
              </c:numCache>
            </c:numRef>
          </c:yVal>
        </c:ser>
        <c:ser>
          <c:idx val="3"/>
          <c:order val="3"/>
          <c:tx>
            <c:v>My1_Glob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4"/>
              </a:solidFill>
              <a:ln xmlns:a="http://schemas.openxmlformats.org/drawingml/2006/main" cmpd="sng">
                <a:solidFill>
                  <a:schemeClr val="accent4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Feuil1!$AN$32:$AN$212</c:f>
              <c:numCache>
                <c:formatCode>0.000</c:formatCode>
                <c:ptCount val="181"/>
                <c:pt idx="0">
                  <c:v>830.3967959808479</c:v>
                </c:pt>
                <c:pt idx="1">
                  <c:v>833.290771022917</c:v>
                </c:pt>
                <c:pt idx="2">
                  <c:v>834.6647551701392</c:v>
                </c:pt>
                <c:pt idx="3">
                  <c:v>834.5207661063356</c:v>
                </c:pt>
                <c:pt idx="4">
                  <c:v>832.8651120593415</c:v>
                </c:pt>
                <c:pt idx="5">
                  <c:v>829.7083542370224</c:v>
                </c:pt>
                <c:pt idx="6">
                  <c:v>825.0652523343224</c:v>
                </c:pt>
                <c:pt idx="7">
                  <c:v>818.9546933805386</c:v>
                </c:pt>
                <c:pt idx="8">
                  <c:v>811.3996042725456</c:v>
                </c:pt>
                <c:pt idx="9">
                  <c:v>802.4268484145623</c:v>
                </c:pt>
                <c:pt idx="10">
                  <c:v>792.0671069578598</c:v>
                </c:pt>
                <c:pt idx="11">
                  <c:v>780.3547452042376</c:v>
                </c:pt>
                <c:pt idx="12">
                  <c:v>767.3276648047961</c:v>
                </c:pt>
                <c:pt idx="13">
                  <c:v>753.0271424501639</c:v>
                </c:pt>
                <c:pt idx="14">
                  <c:v>737.4976558096291</c:v>
                </c:pt>
                <c:pt idx="15">
                  <c:v>720.7866975342411</c:v>
                </c:pt>
                <c:pt idx="16">
                  <c:v>702.9445781926474</c:v>
                </c:pt>
                <c:pt idx="17">
                  <c:v>684.0242190579331</c:v>
                </c:pt>
                <c:pt idx="18">
                  <c:v>664.0809357088164</c:v>
                </c:pt>
                <c:pt idx="19">
                  <c:v>643.1722134489972</c:v>
                </c:pt>
                <c:pt idx="20">
                  <c:v>621.35747558408</c:v>
                </c:pt>
                <c:pt idx="21">
                  <c:v>598.6978456261039</c:v>
                </c:pt>
                <c:pt idx="22">
                  <c:v>575.2559045211991</c:v>
                </c:pt>
                <c:pt idx="23">
                  <c:v>551.0954440161013</c:v>
                </c:pt>
                <c:pt idx="24">
                  <c:v>526.2812172941283</c:v>
                </c:pt>
                <c:pt idx="25">
                  <c:v>500.87868802065634</c:v>
                </c:pt>
                <c:pt idx="26">
                  <c:v>474.9537789421197</c:v>
                </c:pt>
                <c:pt idx="27">
                  <c:v>448.5726211810583</c:v>
                </c:pt>
                <c:pt idx="28">
                  <c:v>421.8013053627704</c:v>
                </c:pt>
                <c:pt idx="29">
                  <c:v>394.7056356967425</c:v>
                </c:pt>
                <c:pt idx="30">
                  <c:v>367.35088811826483</c:v>
                </c:pt>
                <c:pt idx="31">
                  <c:v>339.8015735726208</c:v>
                </c:pt>
                <c:pt idx="32">
                  <c:v>312.12120749605253</c:v>
                </c:pt>
                <c:pt idx="33">
                  <c:v>284.3720865145031</c:v>
                </c:pt>
                <c:pt idx="34">
                  <c:v>256.6150733430894</c:v>
                </c:pt>
                <c:pt idx="35">
                  <c:v>228.90939082655063</c:v>
                </c:pt>
                <c:pt idx="36">
                  <c:v>201.31242601375422</c:v>
                </c:pt>
                <c:pt idx="37">
                  <c:v>173.879545107969</c:v>
                </c:pt>
                <c:pt idx="38">
                  <c:v>146.6639200792722</c:v>
                </c:pt>
                <c:pt idx="39">
                  <c:v>119.71636766642817</c:v>
                </c:pt>
                <c:pt idx="40">
                  <c:v>93.0852014331494</c:v>
                </c:pt>
                <c:pt idx="41">
                  <c:v>66.81609747811791</c:v>
                </c:pt>
                <c:pt idx="42">
                  <c:v>40.95197432985622</c:v>
                </c:pt>
                <c:pt idx="43">
                  <c:v>15.53288748680128</c:v>
                </c:pt>
                <c:pt idx="44">
                  <c:v>-9.404061009897964</c:v>
                </c:pt>
                <c:pt idx="45">
                  <c:v>-33.82479765788271</c:v>
                </c:pt>
                <c:pt idx="46">
                  <c:v>-57.69833699235289</c:v>
                </c:pt>
                <c:pt idx="47">
                  <c:v>-80.99682534198712</c:v>
                </c:pt>
                <c:pt idx="48">
                  <c:v>-103.69556875944578</c:v>
                </c:pt>
                <c:pt idx="49">
                  <c:v>-125.77304512168979</c:v>
                </c:pt>
                <c:pt idx="50">
                  <c:v>-147.2109004729889</c:v>
                </c:pt>
                <c:pt idx="51">
                  <c:v>-167.99392976064516</c:v>
                </c:pt>
                <c:pt idx="52">
                  <c:v>-188.1100421896955</c:v>
                </c:pt>
                <c:pt idx="53">
                  <c:v>-207.55021149784343</c:v>
                </c:pt>
                <c:pt idx="54">
                  <c:v>-226.30841152522908</c:v>
                </c:pt>
                <c:pt idx="55">
                  <c:v>-244.38153752500267</c:v>
                </c:pt>
                <c:pt idx="56">
                  <c:v>-261.76931372971603</c:v>
                </c:pt>
                <c:pt idx="57">
                  <c:v>-278.47418775489973</c:v>
                </c:pt>
                <c:pt idx="58">
                  <c:v>-294.5012124845728</c:v>
                </c:pt>
                <c:pt idx="59">
                  <c:v>-309.8579161435009</c:v>
                </c:pt>
                <c:pt idx="60">
                  <c:v>-324.5541613175071</c:v>
                </c:pt>
                <c:pt idx="61">
                  <c:v>-338.60199373574443</c:v>
                </c:pt>
                <c:pt idx="62">
                  <c:v>-352.0154816773494</c:v>
                </c:pt>
                <c:pt idx="63">
                  <c:v>-364.8105469090242</c:v>
                </c:pt>
                <c:pt idx="64">
                  <c:v>-377.0047880996799</c:v>
                </c:pt>
                <c:pt idx="65">
                  <c:v>-388.6172976930771</c:v>
                </c:pt>
                <c:pt idx="66">
                  <c:v>-399.6684732492994</c:v>
                </c:pt>
                <c:pt idx="67">
                  <c:v>-410.1798242907092</c:v>
                </c:pt>
                <c:pt idx="68">
                  <c:v>-420.17377570766644</c:v>
                </c:pt>
                <c:pt idx="69">
                  <c:v>-429.67346879364504</c:v>
                </c:pt>
                <c:pt idx="70">
                  <c:v>-438.70256098838985</c:v>
                </c:pt>
                <c:pt idx="71">
                  <c:v>-447.2850254113606</c:v>
                </c:pt>
                <c:pt idx="72">
                  <c:v>-455.44495126593887</c:v>
                </c:pt>
                <c:pt idx="73">
                  <c:v>-463.20634618768366</c:v>
                </c:pt>
                <c:pt idx="74">
                  <c:v>-470.59294159740097</c:v>
                </c:pt>
                <c:pt idx="75">
                  <c:v>-477.6280021019717</c:v>
                </c:pt>
                <c:pt idx="76">
                  <c:v>-484.33413996287413</c:v>
                </c:pt>
                <c:pt idx="77">
                  <c:v>-490.7331356242413</c:v>
                </c:pt>
                <c:pt idx="78">
                  <c:v>-496.84576525926116</c:v>
                </c:pt>
                <c:pt idx="79">
                  <c:v>-502.69163625592756</c:v>
                </c:pt>
                <c:pt idx="80">
                  <c:v>-508.2890315207482</c:v>
                </c:pt>
                <c:pt idx="81">
                  <c:v>-513.6547634322602</c:v>
                </c:pt>
                <c:pt idx="82">
                  <c:v>-518.8040382252874</c:v>
                </c:pt>
                <c:pt idx="83">
                  <c:v>-523.7503315320847</c:v>
                </c:pt>
                <c:pt idx="84">
                  <c:v>-528.5052757480886</c:v>
                </c:pt>
                <c:pt idx="85">
                  <c:v>-533.0785598282641</c:v>
                </c:pt>
                <c:pt idx="86">
                  <c:v>-537.4778420552635</c:v>
                </c:pt>
                <c:pt idx="87">
                  <c:v>-541.70867625315</c:v>
                </c:pt>
                <c:pt idx="88">
                  <c:v>-545.7744518506057</c:v>
                </c:pt>
                <c:pt idx="89">
                  <c:v>-549.676348125692</c:v>
                </c:pt>
                <c:pt idx="90">
                  <c:v>-553.4133028906958</c:v>
                </c:pt>
                <c:pt idx="91">
                  <c:v>-556.9819958007909</c:v>
                </c:pt>
                <c:pt idx="92">
                  <c:v>-560.3768463944601</c:v>
                </c:pt>
                <c:pt idx="93">
                  <c:v>-563.5900268973346</c:v>
                </c:pt>
                <c:pt idx="94">
                  <c:v>-566.6114897445822</c:v>
                </c:pt>
                <c:pt idx="95">
                  <c:v>-569.4290097007018</c:v>
                </c:pt>
                <c:pt idx="96">
                  <c:v>-572.0282403798332</c:v>
                </c:pt>
                <c:pt idx="97">
                  <c:v>-574.3927848949314</c:v>
                </c:pt>
                <c:pt idx="98">
                  <c:v>-576.5042802906854</c:v>
                </c:pt>
                <c:pt idx="99">
                  <c:v>-578.3424953432936</c:v>
                </c:pt>
                <c:pt idx="100">
                  <c:v>-579.8854412404648</c:v>
                </c:pt>
                <c:pt idx="101">
                  <c:v>-581.1094945876654</c:v>
                </c:pt>
                <c:pt idx="102">
                  <c:v>-581.989532121988</c:v>
                </c:pt>
                <c:pt idx="103">
                  <c:v>-582.4990764534267</c:v>
                </c:pt>
                <c:pt idx="104">
                  <c:v>-582.6104520950774</c:v>
                </c:pt>
                <c:pt idx="105">
                  <c:v>-582.2949509891649</c:v>
                </c:pt>
                <c:pt idx="106">
                  <c:v>-581.5230066850729</c:v>
                </c:pt>
                <c:pt idx="107">
                  <c:v>-580.2643762789916</c:v>
                </c:pt>
                <c:pt idx="108">
                  <c:v>-578.4883291826235</c:v>
                </c:pt>
                <c:pt idx="109">
                  <c:v>-576.1638417508101</c:v>
                </c:pt>
                <c:pt idx="110">
                  <c:v>-573.2597967651542</c:v>
                </c:pt>
                <c:pt idx="111">
                  <c:v>-569.7451867428837</c:v>
                </c:pt>
                <c:pt idx="112">
                  <c:v>-565.5893200174521</c:v>
                </c:pt>
                <c:pt idx="113">
                  <c:v>-560.7620285198482</c:v>
                </c:pt>
                <c:pt idx="114">
                  <c:v>-555.2338761773485</c:v>
                </c:pt>
                <c:pt idx="115">
                  <c:v>-548.976366839582</c:v>
                </c:pt>
                <c:pt idx="116">
                  <c:v>-541.9621506403067</c:v>
                </c:pt>
                <c:pt idx="117">
                  <c:v>-534.1652277072511</c:v>
                </c:pt>
                <c:pt idx="118">
                  <c:v>-525.5611481417122</c:v>
                </c:pt>
                <c:pt idx="119">
                  <c:v>-516.127207204317</c:v>
                </c:pt>
                <c:pt idx="120">
                  <c:v>-505.84263466334096</c:v>
                </c:pt>
                <c:pt idx="121">
                  <c:v>-494.68877728717234</c:v>
                </c:pt>
                <c:pt idx="122">
                  <c:v>-482.64927349279</c:v>
                </c:pt>
                <c:pt idx="123">
                  <c:v>-469.71021919731123</c:v>
                </c:pt>
                <c:pt idx="124">
                  <c:v>-455.8603239596617</c:v>
                </c:pt>
                <c:pt idx="125">
                  <c:v>-441.09105654394574</c:v>
                </c:pt>
                <c:pt idx="126">
                  <c:v>-425.3967790850231</c:v>
                </c:pt>
                <c:pt idx="127">
                  <c:v>-408.774869089829</c:v>
                </c:pt>
                <c:pt idx="128">
                  <c:v>-391.22582856487907</c:v>
                </c:pt>
                <c:pt idx="129">
                  <c:v>-372.75337962091754</c:v>
                </c:pt>
                <c:pt idx="130">
                  <c:v>-353.3645459694699</c:v>
                </c:pt>
                <c:pt idx="131">
                  <c:v>-333.06971979287664</c:v>
                </c:pt>
                <c:pt idx="132">
                  <c:v>-311.8827135388571</c:v>
                </c:pt>
                <c:pt idx="133">
                  <c:v>-289.8207962624803</c:v>
                </c:pt>
                <c:pt idx="134">
                  <c:v>-266.90471421222855</c:v>
                </c:pt>
                <c:pt idx="135">
                  <c:v>-243.15869543226947</c:v>
                </c:pt>
                <c:pt idx="136">
                  <c:v>-218.6104382297729</c:v>
                </c:pt>
                <c:pt idx="137">
                  <c:v>-193.29108343369197</c:v>
                </c:pt>
                <c:pt idx="138">
                  <c:v>-167.23517044955543</c:v>
                </c:pt>
                <c:pt idx="139">
                  <c:v>-140.48057719306942</c:v>
                </c:pt>
                <c:pt idx="140">
                  <c:v>-113.0684440633319</c:v>
                </c:pt>
                <c:pt idx="141">
                  <c:v>-85.04308219384451</c:v>
                </c:pt>
                <c:pt idx="142">
                  <c:v>-56.45186629591183</c:v>
                </c:pt>
                <c:pt idx="143">
                  <c:v>-27.34511248401632</c:v>
                </c:pt>
                <c:pt idx="144">
                  <c:v>2.224058453960072</c:v>
                </c:pt>
                <c:pt idx="145">
                  <c:v>32.19987180760726</c:v>
                </c:pt>
                <c:pt idx="146">
                  <c:v>62.52406311314378</c:v>
                </c:pt>
                <c:pt idx="147">
                  <c:v>93.136055072092</c:v>
                </c:pt>
                <c:pt idx="148">
                  <c:v>123.97314648783545</c:v>
                </c:pt>
                <c:pt idx="149">
                  <c:v>154.970712428949</c:v>
                </c:pt>
                <c:pt idx="150">
                  <c:v>186.0624147724313</c:v>
                </c:pt>
                <c:pt idx="151">
                  <c:v>217.18042222816982</c:v>
                </c:pt>
                <c:pt idx="152">
                  <c:v>248.25563889840706</c:v>
                </c:pt>
                <c:pt idx="153">
                  <c:v>279.2179403828313</c:v>
                </c:pt>
                <c:pt idx="154">
                  <c:v>309.99641640149315</c:v>
                </c:pt>
                <c:pt idx="155">
                  <c:v>340.51961887415126</c:v>
                </c:pt>
                <c:pt idx="156">
                  <c:v>370.7158143660786</c:v>
                </c:pt>
                <c:pt idx="157">
                  <c:v>400.5132397869616</c:v>
                </c:pt>
                <c:pt idx="158">
                  <c:v>429.84036021141304</c:v>
                </c:pt>
                <c:pt idx="159">
                  <c:v>458.62612767686545</c:v>
                </c:pt>
                <c:pt idx="160">
                  <c:v>486.80023980731534</c:v>
                </c:pt>
                <c:pt idx="161">
                  <c:v>514.2933971095471</c:v>
                </c:pt>
                <c:pt idx="162">
                  <c:v>541.0375577921317</c:v>
                </c:pt>
                <c:pt idx="163">
                  <c:v>566.966188966625</c:v>
                </c:pt>
                <c:pt idx="164">
                  <c:v>592.0145131049748</c:v>
                </c:pt>
                <c:pt idx="165">
                  <c:v>616.1197486470473</c:v>
                </c:pt>
                <c:pt idx="166">
                  <c:v>639.2213436774259</c:v>
                </c:pt>
                <c:pt idx="167">
                  <c:v>661.2612016209788</c:v>
                </c:pt>
                <c:pt idx="168">
                  <c:v>682.1838979420695</c:v>
                </c:pt>
                <c:pt idx="169">
                  <c:v>701.9368868724996</c:v>
                </c:pt>
                <c:pt idx="170">
                  <c:v>720.4706972381432</c:v>
                </c:pt>
                <c:pt idx="171">
                  <c:v>737.7391165035289</c:v>
                </c:pt>
                <c:pt idx="172">
                  <c:v>753.6993622071473</c:v>
                </c:pt>
                <c:pt idx="173">
                  <c:v>768.3122400176917</c:v>
                </c:pt>
                <c:pt idx="174">
                  <c:v>781.5422877025776</c:v>
                </c:pt>
                <c:pt idx="175">
                  <c:v>793.3579043645846</c:v>
                </c:pt>
                <c:pt idx="176">
                  <c:v>803.7314643700228</c:v>
                </c:pt>
                <c:pt idx="177">
                  <c:v>812.639415462151</c:v>
                </c:pt>
                <c:pt idx="178">
                  <c:v>820.0623606262849</c:v>
                </c:pt>
                <c:pt idx="179">
                  <c:v>825.9851233478181</c:v>
                </c:pt>
                <c:pt idx="180">
                  <c:v>830.3967959808479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9760"/>
        <c:axId val="336041442"/>
      </c:scatterChart>
      <c:valAx>
        <c:axId val="33604144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Moment en Nm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1339760"/>
        <c:crosses val="autoZero"/>
        <c:crossBetween val="midCat"/>
      </c:valAx>
      <c:valAx>
        <c:axId val="421339760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336041442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10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Galop et Lacet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Galop</c:v>
          </c:tx>
          <c:spPr>
            <a:ln xmlns:a="http://schemas.openxmlformats.org/drawingml/2006/main" w="15875">
              <a:solidFill>
                <a:schemeClr val="accent1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Feuil1!$AS$32:$AS$212</c:f>
              <c:numCache>
                <c:formatCode>0.000</c:formatCode>
                <c:ptCount val="181"/>
                <c:pt idx="0">
                  <c:v>0</c:v>
                </c:pt>
                <c:pt idx="1">
                  <c:v>26.45609054871477</c:v>
                </c:pt>
                <c:pt idx="2">
                  <c:v>52.879948426344185</c:v>
                </c:pt>
                <c:pt idx="3">
                  <c:v>79.23938023234786</c:v>
                </c:pt>
                <c:pt idx="4">
                  <c:v>105.50227105942923</c:v>
                </c:pt>
                <c:pt idx="5">
                  <c:v>131.6366236206037</c:v>
                </c:pt>
                <c:pt idx="6">
                  <c:v>157.6105972329638</c:v>
                </c:pt>
                <c:pt idx="7">
                  <c:v>183.392546610647</c:v>
                </c:pt>
                <c:pt idx="8">
                  <c:v>208.95106041974128</c:v>
                </c:pt>
                <c:pt idx="9">
                  <c:v>234.25499954815768</c:v>
                </c:pt>
                <c:pt idx="10">
                  <c:v>259.273535043841</c:v>
                </c:pt>
                <c:pt idx="11">
                  <c:v>283.9761856750998</c:v>
                </c:pt>
                <c:pt idx="12">
                  <c:v>308.33285506729146</c:v>
                </c:pt>
                <c:pt idx="13">
                  <c:v>332.31386837061916</c:v>
                </c:pt>
                <c:pt idx="14">
                  <c:v>355.8900084143647</c:v>
                </c:pt>
                <c:pt idx="15">
                  <c:v>379.0325513035103</c:v>
                </c:pt>
                <c:pt idx="16">
                  <c:v>401.7133014143813</c:v>
                </c:pt>
                <c:pt idx="17">
                  <c:v>423.9046257466694</c:v>
                </c:pt>
                <c:pt idx="18">
                  <c:v>445.57948758998714</c:v>
                </c:pt>
                <c:pt idx="19">
                  <c:v>466.7114794639347</c:v>
                </c:pt>
                <c:pt idx="20">
                  <c:v>487.27485529154785</c:v>
                </c:pt>
                <c:pt idx="21">
                  <c:v>507.2445617669258</c:v>
                </c:pt>
                <c:pt idx="22">
                  <c:v>526.5962688788255</c:v>
                </c:pt>
                <c:pt idx="23">
                  <c:v>545.3063995530332</c:v>
                </c:pt>
                <c:pt idx="24">
                  <c:v>563.3521583773971</c:v>
                </c:pt>
                <c:pt idx="25">
                  <c:v>580.711559374526</c:v>
                </c:pt>
                <c:pt idx="26">
                  <c:v>597.3634527883154</c:v>
                </c:pt>
                <c:pt idx="27">
                  <c:v>613.2875508516679</c:v>
                </c:pt>
                <c:pt idx="28">
                  <c:v>628.464452504013</c:v>
                </c:pt>
                <c:pt idx="29">
                  <c:v>642.8756670285095</c:v>
                </c:pt>
                <c:pt idx="30">
                  <c:v>656.5036365801368</c:v>
                </c:pt>
                <c:pt idx="31">
                  <c:v>669.3317575772244</c:v>
                </c:pt>
                <c:pt idx="32">
                  <c:v>681.3444009303572</c:v>
                </c:pt>
                <c:pt idx="33">
                  <c:v>692.5269310840158</c:v>
                </c:pt>
                <c:pt idx="34">
                  <c:v>702.8657238477447</c:v>
                </c:pt>
                <c:pt idx="35">
                  <c:v>712.3481829951297</c:v>
                </c:pt>
                <c:pt idx="36">
                  <c:v>720.9627556103612</c:v>
                </c:pt>
                <c:pt idx="37">
                  <c:v>728.6989461636805</c:v>
                </c:pt>
                <c:pt idx="38">
                  <c:v>735.5473292985669</c:v>
                </c:pt>
                <c:pt idx="39">
                  <c:v>741.4995613150833</c:v>
                </c:pt>
                <c:pt idx="40">
                  <c:v>746.548390335389</c:v>
                </c:pt>
                <c:pt idx="41">
                  <c:v>750.6876651390346</c:v>
                </c:pt>
                <c:pt idx="42">
                  <c:v>753.9123426572787</c:v>
                </c:pt>
                <c:pt idx="43">
                  <c:v>756.2184941172886</c:v>
                </c:pt>
                <c:pt idx="44">
                  <c:v>757.603309828746</c:v>
                </c:pt>
                <c:pt idx="45">
                  <c:v>758.0651026070207</c:v>
                </c:pt>
                <c:pt idx="46">
                  <c:v>757.6033098287461</c:v>
                </c:pt>
                <c:pt idx="47">
                  <c:v>756.2184941172887</c:v>
                </c:pt>
                <c:pt idx="48">
                  <c:v>753.9123426572787</c:v>
                </c:pt>
                <c:pt idx="49">
                  <c:v>750.6876651390348</c:v>
                </c:pt>
                <c:pt idx="50">
                  <c:v>746.548390335389</c:v>
                </c:pt>
                <c:pt idx="51">
                  <c:v>741.4995613150834</c:v>
                </c:pt>
                <c:pt idx="52">
                  <c:v>735.547329298567</c:v>
                </c:pt>
                <c:pt idx="53">
                  <c:v>728.6989461636804</c:v>
                </c:pt>
                <c:pt idx="54">
                  <c:v>720.9627556103612</c:v>
                </c:pt>
                <c:pt idx="55">
                  <c:v>712.3481829951297</c:v>
                </c:pt>
                <c:pt idx="56">
                  <c:v>702.8657238477446</c:v>
                </c:pt>
                <c:pt idx="57">
                  <c:v>692.5269310840158</c:v>
                </c:pt>
                <c:pt idx="58">
                  <c:v>681.3444009303572</c:v>
                </c:pt>
                <c:pt idx="59">
                  <c:v>669.3317575772245</c:v>
                </c:pt>
                <c:pt idx="60">
                  <c:v>656.5036365801369</c:v>
                </c:pt>
                <c:pt idx="61">
                  <c:v>642.8756670285096</c:v>
                </c:pt>
                <c:pt idx="62">
                  <c:v>628.4644525040133</c:v>
                </c:pt>
                <c:pt idx="63">
                  <c:v>613.287550851668</c:v>
                </c:pt>
                <c:pt idx="64">
                  <c:v>597.3634527883153</c:v>
                </c:pt>
                <c:pt idx="65">
                  <c:v>580.711559374526</c:v>
                </c:pt>
                <c:pt idx="66">
                  <c:v>563.3521583773975</c:v>
                </c:pt>
                <c:pt idx="67">
                  <c:v>545.3063995530335</c:v>
                </c:pt>
                <c:pt idx="68">
                  <c:v>526.5962688788255</c:v>
                </c:pt>
                <c:pt idx="69">
                  <c:v>507.2445617669258</c:v>
                </c:pt>
                <c:pt idx="70">
                  <c:v>487.2748552915481</c:v>
                </c:pt>
                <c:pt idx="71">
                  <c:v>466.7114794639351</c:v>
                </c:pt>
                <c:pt idx="72">
                  <c:v>445.5794875899872</c:v>
                </c:pt>
                <c:pt idx="73">
                  <c:v>423.9046257466696</c:v>
                </c:pt>
                <c:pt idx="74">
                  <c:v>401.7133014143816</c:v>
                </c:pt>
                <c:pt idx="75">
                  <c:v>379.03255130351033</c:v>
                </c:pt>
                <c:pt idx="76">
                  <c:v>355.8900084143648</c:v>
                </c:pt>
                <c:pt idx="77">
                  <c:v>332.31386837061905</c:v>
                </c:pt>
                <c:pt idx="78">
                  <c:v>308.3328550672917</c:v>
                </c:pt>
                <c:pt idx="79">
                  <c:v>283.97618567510006</c:v>
                </c:pt>
                <c:pt idx="80">
                  <c:v>259.273535043841</c:v>
                </c:pt>
                <c:pt idx="81">
                  <c:v>234.2549995481577</c:v>
                </c:pt>
                <c:pt idx="82">
                  <c:v>208.95106041974168</c:v>
                </c:pt>
                <c:pt idx="83">
                  <c:v>183.39254661064706</c:v>
                </c:pt>
                <c:pt idx="84">
                  <c:v>157.610597232964</c:v>
                </c:pt>
                <c:pt idx="85">
                  <c:v>131.63662362060387</c:v>
                </c:pt>
                <c:pt idx="86">
                  <c:v>105.50227105942952</c:v>
                </c:pt>
                <c:pt idx="87">
                  <c:v>79.23938023234805</c:v>
                </c:pt>
                <c:pt idx="88">
                  <c:v>52.879948426344185</c:v>
                </c:pt>
                <c:pt idx="89">
                  <c:v>26.45609054871457</c:v>
                </c:pt>
                <c:pt idx="90">
                  <c:v>0</c:v>
                </c:pt>
                <c:pt idx="91">
                  <c:v>-26.456090548714513</c:v>
                </c:pt>
                <c:pt idx="92">
                  <c:v>-52.879948426344015</c:v>
                </c:pt>
                <c:pt idx="93">
                  <c:v>-79.2393802323476</c:v>
                </c:pt>
                <c:pt idx="94">
                  <c:v>-105.50227105942906</c:v>
                </c:pt>
                <c:pt idx="95">
                  <c:v>-131.63662362060361</c:v>
                </c:pt>
                <c:pt idx="96">
                  <c:v>-157.61059723296356</c:v>
                </c:pt>
                <c:pt idx="97">
                  <c:v>-183.39254661064706</c:v>
                </c:pt>
                <c:pt idx="98">
                  <c:v>-208.95106041974128</c:v>
                </c:pt>
                <c:pt idx="99">
                  <c:v>-234.25499954815768</c:v>
                </c:pt>
                <c:pt idx="100">
                  <c:v>-259.273535043841</c:v>
                </c:pt>
                <c:pt idx="101">
                  <c:v>-283.97618567509977</c:v>
                </c:pt>
                <c:pt idx="102">
                  <c:v>-308.3328550672913</c:v>
                </c:pt>
                <c:pt idx="103">
                  <c:v>-332.31386837061905</c:v>
                </c:pt>
                <c:pt idx="104">
                  <c:v>-355.89000841436456</c:v>
                </c:pt>
                <c:pt idx="105">
                  <c:v>-379.0325513035102</c:v>
                </c:pt>
                <c:pt idx="106">
                  <c:v>-401.71330141438125</c:v>
                </c:pt>
                <c:pt idx="107">
                  <c:v>-423.90462574666924</c:v>
                </c:pt>
                <c:pt idx="108">
                  <c:v>-445.57948758998725</c:v>
                </c:pt>
                <c:pt idx="109">
                  <c:v>-466.71147946393467</c:v>
                </c:pt>
                <c:pt idx="110">
                  <c:v>-487.2748552915478</c:v>
                </c:pt>
                <c:pt idx="111">
                  <c:v>-507.24456176692587</c:v>
                </c:pt>
                <c:pt idx="112">
                  <c:v>-526.5962688788255</c:v>
                </c:pt>
                <c:pt idx="113">
                  <c:v>-545.3063995530331</c:v>
                </c:pt>
                <c:pt idx="114">
                  <c:v>-563.352158377397</c:v>
                </c:pt>
                <c:pt idx="115">
                  <c:v>-580.7115593745259</c:v>
                </c:pt>
                <c:pt idx="116">
                  <c:v>-597.3634527883153</c:v>
                </c:pt>
                <c:pt idx="117">
                  <c:v>-613.2875508516677</c:v>
                </c:pt>
                <c:pt idx="118">
                  <c:v>-628.4644525040129</c:v>
                </c:pt>
                <c:pt idx="119">
                  <c:v>-642.8756670285095</c:v>
                </c:pt>
                <c:pt idx="120">
                  <c:v>-656.5036365801368</c:v>
                </c:pt>
                <c:pt idx="121">
                  <c:v>-669.3317575772245</c:v>
                </c:pt>
                <c:pt idx="122">
                  <c:v>-681.3444009303571</c:v>
                </c:pt>
                <c:pt idx="123">
                  <c:v>-692.5269310840158</c:v>
                </c:pt>
                <c:pt idx="124">
                  <c:v>-702.8657238477444</c:v>
                </c:pt>
                <c:pt idx="125">
                  <c:v>-712.3481829951295</c:v>
                </c:pt>
                <c:pt idx="126">
                  <c:v>-720.9627556103611</c:v>
                </c:pt>
                <c:pt idx="127">
                  <c:v>-728.6989461636804</c:v>
                </c:pt>
                <c:pt idx="128">
                  <c:v>-735.5473292985669</c:v>
                </c:pt>
                <c:pt idx="129">
                  <c:v>-741.4995613150834</c:v>
                </c:pt>
                <c:pt idx="130">
                  <c:v>-746.5483903353891</c:v>
                </c:pt>
                <c:pt idx="131">
                  <c:v>-750.6876651390348</c:v>
                </c:pt>
                <c:pt idx="132">
                  <c:v>-753.9123426572787</c:v>
                </c:pt>
                <c:pt idx="133">
                  <c:v>-756.2184941172886</c:v>
                </c:pt>
                <c:pt idx="134">
                  <c:v>-757.603309828746</c:v>
                </c:pt>
                <c:pt idx="135">
                  <c:v>-758.0651026070207</c:v>
                </c:pt>
                <c:pt idx="136">
                  <c:v>-757.6033098287461</c:v>
                </c:pt>
                <c:pt idx="137">
                  <c:v>-756.2184941172889</c:v>
                </c:pt>
                <c:pt idx="138">
                  <c:v>-753.9123426572787</c:v>
                </c:pt>
                <c:pt idx="139">
                  <c:v>-750.6876651390348</c:v>
                </c:pt>
                <c:pt idx="140">
                  <c:v>-746.548390335389</c:v>
                </c:pt>
                <c:pt idx="141">
                  <c:v>-741.4995613150834</c:v>
                </c:pt>
                <c:pt idx="142">
                  <c:v>-735.5473292985669</c:v>
                </c:pt>
                <c:pt idx="143">
                  <c:v>-728.6989461636804</c:v>
                </c:pt>
                <c:pt idx="144">
                  <c:v>-720.9627556103612</c:v>
                </c:pt>
                <c:pt idx="145">
                  <c:v>-712.3481829951298</c:v>
                </c:pt>
                <c:pt idx="146">
                  <c:v>-702.8657238477447</c:v>
                </c:pt>
                <c:pt idx="147">
                  <c:v>-692.5269310840157</c:v>
                </c:pt>
                <c:pt idx="148">
                  <c:v>-681.3444009303572</c:v>
                </c:pt>
                <c:pt idx="149">
                  <c:v>-669.3317575772245</c:v>
                </c:pt>
                <c:pt idx="150">
                  <c:v>-656.503636580137</c:v>
                </c:pt>
                <c:pt idx="151">
                  <c:v>-642.8756670285095</c:v>
                </c:pt>
                <c:pt idx="152">
                  <c:v>-628.4644525040131</c:v>
                </c:pt>
                <c:pt idx="153">
                  <c:v>-613.2875508516679</c:v>
                </c:pt>
                <c:pt idx="154">
                  <c:v>-597.3634527883154</c:v>
                </c:pt>
                <c:pt idx="155">
                  <c:v>-580.7115593745262</c:v>
                </c:pt>
                <c:pt idx="156">
                  <c:v>-563.3521583773975</c:v>
                </c:pt>
                <c:pt idx="157">
                  <c:v>-545.3063995530337</c:v>
                </c:pt>
                <c:pt idx="158">
                  <c:v>-526.5962688788258</c:v>
                </c:pt>
                <c:pt idx="159">
                  <c:v>-507.2445617669259</c:v>
                </c:pt>
                <c:pt idx="160">
                  <c:v>-487.2748552915484</c:v>
                </c:pt>
                <c:pt idx="161">
                  <c:v>-466.7114794639351</c:v>
                </c:pt>
                <c:pt idx="162">
                  <c:v>-445.57948758998737</c:v>
                </c:pt>
                <c:pt idx="163">
                  <c:v>-423.90462574666986</c:v>
                </c:pt>
                <c:pt idx="164">
                  <c:v>-401.7133014143816</c:v>
                </c:pt>
                <c:pt idx="165">
                  <c:v>-379.03255130351044</c:v>
                </c:pt>
                <c:pt idx="166">
                  <c:v>-355.8900084143647</c:v>
                </c:pt>
                <c:pt idx="167">
                  <c:v>-332.31386837061916</c:v>
                </c:pt>
                <c:pt idx="168">
                  <c:v>-308.33285506729175</c:v>
                </c:pt>
                <c:pt idx="169">
                  <c:v>-283.97618567510034</c:v>
                </c:pt>
                <c:pt idx="170">
                  <c:v>-259.27353504384087</c:v>
                </c:pt>
                <c:pt idx="171">
                  <c:v>-234.2549995481578</c:v>
                </c:pt>
                <c:pt idx="172">
                  <c:v>-208.95106041974134</c:v>
                </c:pt>
                <c:pt idx="173">
                  <c:v>-183.3925466106469</c:v>
                </c:pt>
                <c:pt idx="174">
                  <c:v>-157.61059723296415</c:v>
                </c:pt>
                <c:pt idx="175">
                  <c:v>-131.6366236206042</c:v>
                </c:pt>
                <c:pt idx="176">
                  <c:v>-105.50227105942963</c:v>
                </c:pt>
                <c:pt idx="177">
                  <c:v>-79.2393802323482</c:v>
                </c:pt>
                <c:pt idx="178">
                  <c:v>-52.879948426344356</c:v>
                </c:pt>
                <c:pt idx="179">
                  <c:v>-26.456090548714712</c:v>
                </c:pt>
                <c:pt idx="180">
                  <c:v>0</c:v>
                </c:pt>
              </c:numCache>
            </c:numRef>
          </c:yVal>
        </c:ser>
        <c:ser>
          <c:idx val="1"/>
          <c:order val="1"/>
          <c:tx>
            <c:v>Lacet</c:v>
          </c:tx>
          <c:spPr>
            <a:ln xmlns:a="http://schemas.openxmlformats.org/drawingml/2006/main" w="12700">
              <a:solidFill>
                <a:schemeClr val="accent2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Feuil1!$AT$32:$AT$212</c:f>
              <c:numCache>
                <c:formatCode>0.000</c:formatCode>
                <c:ptCount val="181"/>
                <c:pt idx="0">
                  <c:v>2214.2068948523915</c:v>
                </c:pt>
                <c:pt idx="1">
                  <c:v>2212.6050663339765</c:v>
                </c:pt>
                <c:pt idx="2">
                  <c:v>2207.802764918957</c:v>
                </c:pt>
                <c:pt idx="3">
                  <c:v>2199.809533143729</c:v>
                </c:pt>
                <c:pt idx="4">
                  <c:v>2188.6412423292873</c:v>
                </c:pt>
                <c:pt idx="5">
                  <c:v>2174.32004336609</c:v>
                </c:pt>
                <c:pt idx="6">
                  <c:v>2156.874298100861</c:v>
                </c:pt>
                <c:pt idx="7">
                  <c:v>2136.3384916117384</c:v>
                </c:pt>
                <c:pt idx="8">
                  <c:v>2112.75312573768</c:v>
                </c:pt>
                <c:pt idx="9">
                  <c:v>2086.1645943058684</c:v>
                </c:pt>
                <c:pt idx="10">
                  <c:v>2056.6250405766095</c:v>
                </c:pt>
                <c:pt idx="11">
                  <c:v>2024.192197498534</c:v>
                </c:pt>
                <c:pt idx="12">
                  <c:v>1988.92921143749</c:v>
                </c:pt>
                <c:pt idx="13">
                  <c:v>1950.9044501099766</c:v>
                </c:pt>
                <c:pt idx="14">
                  <c:v>1910.1912955160308</c:v>
                </c:pt>
                <c:pt idx="15">
                  <c:v>1866.8679227268572</c:v>
                </c:pt>
                <c:pt idx="16">
                  <c:v>1821.0170654388598</c:v>
                </c:pt>
                <c:pt idx="17">
                  <c:v>1772.725769257896</c:v>
                </c:pt>
                <c:pt idx="18">
                  <c:v>1722.0851337252293</c:v>
                </c:pt>
                <c:pt idx="19">
                  <c:v>1669.1900441396306</c:v>
                </c:pt>
                <c:pt idx="20">
                  <c:v>1614.1388942681676</c:v>
                </c:pt>
                <c:pt idx="21">
                  <c:v>1557.0333010712338</c:v>
                </c:pt>
                <c:pt idx="22">
                  <c:v>1497.9778125951718</c:v>
                </c:pt>
                <c:pt idx="23">
                  <c:v>1437.0796102083425</c:v>
                </c:pt>
                <c:pt idx="24">
                  <c:v>1374.4482063735313</c:v>
                </c:pt>
                <c:pt idx="25">
                  <c:v>1310.1951391611371</c:v>
                </c:pt>
                <c:pt idx="26">
                  <c:v>1244.4336647136058</c:v>
                </c:pt>
                <c:pt idx="27">
                  <c:v>1177.2784488720276</c:v>
                </c:pt>
                <c:pt idx="28">
                  <c:v>1108.8452591707091</c:v>
                </c:pt>
                <c:pt idx="29">
                  <c:v>1039.2506583949432</c:v>
                </c:pt>
                <c:pt idx="30">
                  <c:v>968.6117008811204</c:v>
                </c:pt>
                <c:pt idx="31">
                  <c:v>897.045632716907</c:v>
                </c:pt>
                <c:pt idx="32">
                  <c:v>824.6695969725695</c:v>
                </c:pt>
                <c:pt idx="33">
                  <c:v>751.6003450627003</c:v>
                </c:pt>
                <c:pt idx="34">
                  <c:v>677.9539553009222</c:v>
                </c:pt>
                <c:pt idx="35">
                  <c:v>603.845559668633</c:v>
                </c:pt>
                <c:pt idx="36">
                  <c:v>529.3890797728407</c:v>
                </c:pt>
                <c:pt idx="37">
                  <c:v>454.6969729177887</c:v>
                </c:pt>
                <c:pt idx="38">
                  <c:v>379.87998916064805</c:v>
                </c:pt>
                <c:pt idx="39">
                  <c:v>305.04694016336595</c:v>
                </c:pt>
                <c:pt idx="40">
                  <c:v>230.30448059104728</c:v>
                </c:pt>
                <c:pt idx="41">
                  <c:v>155.75690274233176</c:v>
                </c:pt>
                <c:pt idx="42">
                  <c:v>81.50594502945256</c:v>
                </c:pt>
                <c:pt idx="43">
                  <c:v>7.650614855343321</c:v>
                </c:pt>
                <c:pt idx="44">
                  <c:v>-65.71297363737992</c:v>
                </c:pt>
                <c:pt idx="45">
                  <c:v>-138.49174654507578</c:v>
                </c:pt>
                <c:pt idx="46">
                  <c:v>-210.59580158474546</c:v>
                </c:pt>
                <c:pt idx="47">
                  <c:v>-281.93852363102184</c:v>
                </c:pt>
                <c:pt idx="48">
                  <c:v>-352.43668423845315</c:v>
                </c:pt>
                <c:pt idx="49">
                  <c:v>-422.01052505709083</c:v>
                </c:pt>
                <c:pt idx="50">
                  <c:v>-490.58382512736733</c:v>
                </c:pt>
                <c:pt idx="51">
                  <c:v>-558.0839521178539</c:v>
                </c:pt>
                <c:pt idx="52">
                  <c:v>-624.4418976462546</c:v>
                </c:pt>
                <c:pt idx="53">
                  <c:v>-689.592296899649</c:v>
                </c:pt>
                <c:pt idx="54">
                  <c:v>-753.4734328441091</c:v>
                </c:pt>
                <c:pt idx="55">
                  <c:v>-816.0272253860268</c:v>
                </c:pt>
                <c:pt idx="56">
                  <c:v>-877.1992059174943</c:v>
                </c:pt>
                <c:pt idx="57">
                  <c:v>-936.9384777455086</c:v>
                </c:pt>
                <c:pt idx="58">
                  <c:v>-995.1976629693067</c:v>
                </c:pt>
                <c:pt idx="59">
                  <c:v>-1051.9328364314576</c:v>
                </c:pt>
                <c:pt idx="60">
                  <c:v>-1107.1034474261958</c:v>
                </c:pt>
                <c:pt idx="61">
                  <c:v>-1160.6722299025173</c:v>
                </c:pt>
                <c:pt idx="62">
                  <c:v>-1212.60510194965</c:v>
                </c:pt>
                <c:pt idx="63">
                  <c:v>-1262.8710553982198</c:v>
                </c:pt>
                <c:pt idx="64">
                  <c:v>-1311.4420364117932</c:v>
                </c:pt>
                <c:pt idx="65">
                  <c:v>-1358.2928179800629</c:v>
                </c:pt>
                <c:pt idx="66">
                  <c:v>-1403.4008652567513</c:v>
                </c:pt>
                <c:pt idx="67">
                  <c:v>-1446.7461947120883</c:v>
                </c:pt>
                <c:pt idx="68">
                  <c:v>-1488.3112280914243</c:v>
                </c:pt>
                <c:pt idx="69">
                  <c:v>-1528.0806421880134</c:v>
                </c:pt>
                <c:pt idx="70">
                  <c:v>-1566.0412154492415</c:v>
                </c:pt>
                <c:pt idx="71">
                  <c:v>-1602.1816724414425</c:v>
                </c:pt>
                <c:pt idx="72">
                  <c:v>-1636.4925271990364</c:v>
                </c:pt>
                <c:pt idx="73">
                  <c:v>-1668.965926478954</c:v>
                </c:pt>
                <c:pt idx="74">
                  <c:v>-1699.5954939312846</c:v>
                </c:pt>
                <c:pt idx="75">
                  <c:v>-1728.376176181781</c:v>
                </c:pt>
                <c:pt idx="76">
                  <c:v>-1755.304091801479</c:v>
                </c:pt>
                <c:pt idx="77">
                  <c:v>-1780.3763841132393</c:v>
                </c:pt>
                <c:pt idx="78">
                  <c:v>-1803.5910787546818</c:v>
                </c:pt>
                <c:pt idx="79">
                  <c:v>-1824.9469468819616</c:v>
                </c:pt>
                <c:pt idx="80">
                  <c:v>-1844.4433748592146</c:v>
                </c:pt>
                <c:pt idx="81">
                  <c:v>-1862.0802412345993</c:v>
                </c:pt>
                <c:pt idx="82">
                  <c:v>-1877.8578017558193</c:v>
                </c:pt>
                <c:pt idx="83">
                  <c:v>-1891.7765831261313</c:v>
                </c:pt>
                <c:pt idx="84">
                  <c:v>-1903.8372861463718</c:v>
                </c:pt>
                <c:pt idx="85">
                  <c:v>-1914.0406988297696</c:v>
                </c:pt>
                <c:pt idx="86">
                  <c:v>-1922.387620014528</c:v>
                </c:pt>
                <c:pt idx="87">
                  <c:v>-1928.878793934728</c:v>
                </c:pt>
                <c:pt idx="88">
                  <c:v>-1933.514856143278</c:v>
                </c:pt>
                <c:pt idx="89">
                  <c:v>-1936.2962911118502</c:v>
                </c:pt>
                <c:pt idx="90">
                  <c:v>-1937.2234017622395</c:v>
                </c:pt>
                <c:pt idx="91">
                  <c:v>-1936.2962911118505</c:v>
                </c:pt>
                <c:pt idx="92">
                  <c:v>-1933.514856143278</c:v>
                </c:pt>
                <c:pt idx="93">
                  <c:v>-1928.878793934728</c:v>
                </c:pt>
                <c:pt idx="94">
                  <c:v>-1922.3876200145278</c:v>
                </c:pt>
                <c:pt idx="95">
                  <c:v>-1914.0406988297696</c:v>
                </c:pt>
                <c:pt idx="96">
                  <c:v>-1903.8372861463718</c:v>
                </c:pt>
                <c:pt idx="97">
                  <c:v>-1891.776583126131</c:v>
                </c:pt>
                <c:pt idx="98">
                  <c:v>-1877.8578017558193</c:v>
                </c:pt>
                <c:pt idx="99">
                  <c:v>-1862.0802412345997</c:v>
                </c:pt>
                <c:pt idx="100">
                  <c:v>-1844.4433748592144</c:v>
                </c:pt>
                <c:pt idx="101">
                  <c:v>-1824.9469468819616</c:v>
                </c:pt>
                <c:pt idx="102">
                  <c:v>-1803.5910787546823</c:v>
                </c:pt>
                <c:pt idx="103">
                  <c:v>-1780.3763841132395</c:v>
                </c:pt>
                <c:pt idx="104">
                  <c:v>-1755.3040918014794</c:v>
                </c:pt>
                <c:pt idx="105">
                  <c:v>-1728.3761761817814</c:v>
                </c:pt>
                <c:pt idx="106">
                  <c:v>-1699.5954939312855</c:v>
                </c:pt>
                <c:pt idx="107">
                  <c:v>-1668.9659264789552</c:v>
                </c:pt>
                <c:pt idx="108">
                  <c:v>-1636.492527199036</c:v>
                </c:pt>
                <c:pt idx="109">
                  <c:v>-1602.181672441443</c:v>
                </c:pt>
                <c:pt idx="110">
                  <c:v>-1566.041215449242</c:v>
                </c:pt>
                <c:pt idx="111">
                  <c:v>-1528.0806421880134</c:v>
                </c:pt>
                <c:pt idx="112">
                  <c:v>-1488.3112280914247</c:v>
                </c:pt>
                <c:pt idx="113">
                  <c:v>-1446.7461947120896</c:v>
                </c:pt>
                <c:pt idx="114">
                  <c:v>-1403.4008652567525</c:v>
                </c:pt>
                <c:pt idx="115">
                  <c:v>-1358.292817980063</c:v>
                </c:pt>
                <c:pt idx="116">
                  <c:v>-1311.4420364117934</c:v>
                </c:pt>
                <c:pt idx="117">
                  <c:v>-1262.8710553982214</c:v>
                </c:pt>
                <c:pt idx="118">
                  <c:v>-1212.6051019496508</c:v>
                </c:pt>
                <c:pt idx="119">
                  <c:v>-1160.672229902518</c:v>
                </c:pt>
                <c:pt idx="120">
                  <c:v>-1107.103447426196</c:v>
                </c:pt>
                <c:pt idx="121">
                  <c:v>-1051.9328364314586</c:v>
                </c:pt>
                <c:pt idx="122">
                  <c:v>-995.1976629693072</c:v>
                </c:pt>
                <c:pt idx="123">
                  <c:v>-936.9384777455083</c:v>
                </c:pt>
                <c:pt idx="124">
                  <c:v>-877.1992059174947</c:v>
                </c:pt>
                <c:pt idx="125">
                  <c:v>-816.0272253860287</c:v>
                </c:pt>
                <c:pt idx="126">
                  <c:v>-753.4734328441098</c:v>
                </c:pt>
                <c:pt idx="127">
                  <c:v>-689.5922968996492</c:v>
                </c:pt>
                <c:pt idx="128">
                  <c:v>-624.4418976462557</c:v>
                </c:pt>
                <c:pt idx="129">
                  <c:v>-558.083952117855</c:v>
                </c:pt>
                <c:pt idx="130">
                  <c:v>-490.5838251273678</c:v>
                </c:pt>
                <c:pt idx="131">
                  <c:v>-422.01052505709</c:v>
                </c:pt>
                <c:pt idx="132">
                  <c:v>-352.43668423845344</c:v>
                </c:pt>
                <c:pt idx="133">
                  <c:v>-281.9385236310225</c:v>
                </c:pt>
                <c:pt idx="134">
                  <c:v>-210.59580158474643</c:v>
                </c:pt>
                <c:pt idx="135">
                  <c:v>-138.49174654507652</c:v>
                </c:pt>
                <c:pt idx="136">
                  <c:v>-65.71297363738064</c:v>
                </c:pt>
                <c:pt idx="137">
                  <c:v>7.650614855342088</c:v>
                </c:pt>
                <c:pt idx="138">
                  <c:v>81.50594502945158</c:v>
                </c:pt>
                <c:pt idx="139">
                  <c:v>155.75690274233102</c:v>
                </c:pt>
                <c:pt idx="140">
                  <c:v>230.30448059104629</c:v>
                </c:pt>
                <c:pt idx="141">
                  <c:v>305.04694016336475</c:v>
                </c:pt>
                <c:pt idx="142">
                  <c:v>379.8799891606475</c:v>
                </c:pt>
                <c:pt idx="143">
                  <c:v>454.6969729177892</c:v>
                </c:pt>
                <c:pt idx="144">
                  <c:v>529.38907977284</c:v>
                </c:pt>
                <c:pt idx="145">
                  <c:v>603.845559668631</c:v>
                </c:pt>
                <c:pt idx="146">
                  <c:v>677.9539553009215</c:v>
                </c:pt>
                <c:pt idx="147">
                  <c:v>751.600345062701</c:v>
                </c:pt>
                <c:pt idx="148">
                  <c:v>824.6695969725693</c:v>
                </c:pt>
                <c:pt idx="149">
                  <c:v>897.045632716906</c:v>
                </c:pt>
                <c:pt idx="150">
                  <c:v>968.6117008811198</c:v>
                </c:pt>
                <c:pt idx="151">
                  <c:v>1039.250658394943</c:v>
                </c:pt>
                <c:pt idx="152">
                  <c:v>1108.8452591707078</c:v>
                </c:pt>
                <c:pt idx="153">
                  <c:v>1177.2784488720267</c:v>
                </c:pt>
                <c:pt idx="154">
                  <c:v>1244.4336647136063</c:v>
                </c:pt>
                <c:pt idx="155">
                  <c:v>1310.195139161137</c:v>
                </c:pt>
                <c:pt idx="156">
                  <c:v>1374.4482063735304</c:v>
                </c:pt>
                <c:pt idx="157">
                  <c:v>1437.079610208341</c:v>
                </c:pt>
                <c:pt idx="158">
                  <c:v>1497.977812595171</c:v>
                </c:pt>
                <c:pt idx="159">
                  <c:v>1557.0333010712336</c:v>
                </c:pt>
                <c:pt idx="160">
                  <c:v>1614.1388942681667</c:v>
                </c:pt>
                <c:pt idx="161">
                  <c:v>1669.1900441396288</c:v>
                </c:pt>
                <c:pt idx="162">
                  <c:v>1722.085133725229</c:v>
                </c:pt>
                <c:pt idx="163">
                  <c:v>1772.7257692578955</c:v>
                </c:pt>
                <c:pt idx="164">
                  <c:v>1821.0170654388585</c:v>
                </c:pt>
                <c:pt idx="165">
                  <c:v>1866.8679227268567</c:v>
                </c:pt>
                <c:pt idx="166">
                  <c:v>1910.191295516031</c:v>
                </c:pt>
                <c:pt idx="167">
                  <c:v>1950.9044501099768</c:v>
                </c:pt>
                <c:pt idx="168">
                  <c:v>1988.92921143749</c:v>
                </c:pt>
                <c:pt idx="169">
                  <c:v>2024.1921974985335</c:v>
                </c:pt>
                <c:pt idx="170">
                  <c:v>2056.6250405766095</c:v>
                </c:pt>
                <c:pt idx="171">
                  <c:v>2086.164594305868</c:v>
                </c:pt>
                <c:pt idx="172">
                  <c:v>2112.753125737679</c:v>
                </c:pt>
                <c:pt idx="173">
                  <c:v>2136.3384916117384</c:v>
                </c:pt>
                <c:pt idx="174">
                  <c:v>2156.874298100861</c:v>
                </c:pt>
                <c:pt idx="175">
                  <c:v>2174.32004336609</c:v>
                </c:pt>
                <c:pt idx="176">
                  <c:v>2188.6412423292873</c:v>
                </c:pt>
                <c:pt idx="177">
                  <c:v>2199.809533143729</c:v>
                </c:pt>
                <c:pt idx="178">
                  <c:v>2207.802764918957</c:v>
                </c:pt>
                <c:pt idx="179">
                  <c:v>2212.6050663339765</c:v>
                </c:pt>
                <c:pt idx="180">
                  <c:v>2214.2068948523915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610326"/>
        <c:axId val="424531403"/>
      </c:scatterChart>
      <c:valAx>
        <c:axId val="424531403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Moment en Nm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0.000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10610326"/>
        <c:crosses val="autoZero"/>
        <c:crossBetween val="midCat"/>
      </c:valAx>
      <c:valAx>
        <c:axId val="410610326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4531403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1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Force masses individuelle X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Fm1_Xglo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Feuil1!$AY$32:$AY$212</c:f>
              <c:numCache>
                <c:formatCode>General</c:formatCode>
                <c:ptCount val="181"/>
                <c:pt idx="0">
                  <c:v>24.10834146076958</c:v>
                </c:pt>
                <c:pt idx="1">
                  <c:v>-14.467942956682531</c:v>
                </c:pt>
                <c:pt idx="2">
                  <c:v>-52.973741010362225</c:v>
                </c:pt>
                <c:pt idx="3">
                  <c:v>-91.22145632274102</c:v>
                </c:pt>
                <c:pt idx="4">
                  <c:v>-129.0247498694644</c:v>
                </c:pt>
                <c:pt idx="5">
                  <c:v>-166.1994478043462</c:v>
                </c:pt>
                <c:pt idx="6">
                  <c:v>-202.56443873583535</c:v>
                </c:pt>
                <c:pt idx="7">
                  <c:v>-237.9425560835097</c:v>
                </c:pt>
                <c:pt idx="8">
                  <c:v>-272.161441215847</c:v>
                </c:pt>
                <c:pt idx="9">
                  <c:v>-305.0543831641534</c:v>
                </c:pt>
                <c:pt idx="10">
                  <c:v>-336.46113082164334</c:v>
                </c:pt>
                <c:pt idx="11">
                  <c:v>-366.22867367072485</c:v>
                </c:pt>
                <c:pt idx="12">
                  <c:v>-394.21198723486</c:v>
                </c:pt>
                <c:pt idx="13">
                  <c:v>-420.2747396232376</c:v>
                </c:pt>
                <c:pt idx="14">
                  <c:v>-444.2899557260394</c:v>
                </c:pt>
                <c:pt idx="15">
                  <c:v>-466.14063582441446</c:v>
                </c:pt>
                <c:pt idx="16">
                  <c:v>-485.72032560134585</c:v>
                </c:pt>
                <c:pt idx="17">
                  <c:v>-502.9336347763838</c:v>
                </c:pt>
                <c:pt idx="18">
                  <c:v>-517.6967018375035</c:v>
                </c:pt>
                <c:pt idx="19">
                  <c:v>-529.9376026059613</c:v>
                </c:pt>
                <c:pt idx="20">
                  <c:v>-539.5967006436643</c:v>
                </c:pt>
                <c:pt idx="21">
                  <c:v>-546.6269377959021</c:v>
                </c:pt>
                <c:pt idx="22">
                  <c:v>-550.994063453946</c:v>
                </c:pt>
                <c:pt idx="23">
                  <c:v>-552.6768014205718</c:v>
                </c:pt>
                <c:pt idx="24">
                  <c:v>-551.6669535655544</c:v>
                </c:pt>
                <c:pt idx="25">
                  <c:v>-547.9694397661339</c:v>
                </c:pt>
                <c:pt idx="26">
                  <c:v>-541.6022739378682</c:v>
                </c:pt>
                <c:pt idx="27">
                  <c:v>-532.5964762726474</c:v>
                </c:pt>
                <c:pt idx="28">
                  <c:v>-520.9959221114368</c:v>
                </c:pt>
                <c:pt idx="29">
                  <c:v>-506.8571281880263</c:v>
                </c:pt>
                <c:pt idx="30">
                  <c:v>-490.2489772851841</c:v>
                </c:pt>
                <c:pt idx="31">
                  <c:v>-471.2523826446633</c:v>
                </c:pt>
                <c:pt idx="32">
                  <c:v>-449.9598937660216</c:v>
                </c:pt>
                <c:pt idx="33">
                  <c:v>-426.4752455147625</c:v>
                </c:pt>
                <c:pt idx="34">
                  <c:v>-400.9128527364969</c:v>
                </c:pt>
                <c:pt idx="35">
                  <c:v>-373.3972528393182</c:v>
                </c:pt>
                <c:pt idx="36">
                  <c:v>-344.0624990600669</c:v>
                </c:pt>
                <c:pt idx="37">
                  <c:v>-313.05150737043647</c:v>
                </c:pt>
                <c:pt idx="38">
                  <c:v>-280.5153602047247</c:v>
                </c:pt>
                <c:pt idx="39">
                  <c:v>-246.6125704014009</c:v>
                </c:pt>
                <c:pt idx="40">
                  <c:v>-211.50830894449032</c:v>
                </c:pt>
                <c:pt idx="41">
                  <c:v>-175.37360026714313</c:v>
                </c:pt>
                <c:pt idx="42">
                  <c:v>-138.38448903778752</c:v>
                </c:pt>
                <c:pt idx="43">
                  <c:v>-100.72118248819953</c:v>
                </c:pt>
                <c:pt idx="44">
                  <c:v>-62.5671724619869</c:v>
                </c:pt>
                <c:pt idx="45">
                  <c:v>-24.108341460769648</c:v>
                </c:pt>
                <c:pt idx="46">
                  <c:v>14.467942956682464</c:v>
                </c:pt>
                <c:pt idx="47">
                  <c:v>52.973741010362154</c:v>
                </c:pt>
                <c:pt idx="48">
                  <c:v>91.22145632274119</c:v>
                </c:pt>
                <c:pt idx="49">
                  <c:v>129.02474986946456</c:v>
                </c:pt>
                <c:pt idx="50">
                  <c:v>166.1994478043464</c:v>
                </c:pt>
                <c:pt idx="51">
                  <c:v>202.56443873583507</c:v>
                </c:pt>
                <c:pt idx="52">
                  <c:v>237.94255608350937</c:v>
                </c:pt>
                <c:pt idx="53">
                  <c:v>272.16144121584693</c:v>
                </c:pt>
                <c:pt idx="54">
                  <c:v>305.05438316415336</c:v>
                </c:pt>
                <c:pt idx="55">
                  <c:v>336.4611308216433</c:v>
                </c:pt>
                <c:pt idx="56">
                  <c:v>366.22867367072485</c:v>
                </c:pt>
                <c:pt idx="57">
                  <c:v>394.21198723486015</c:v>
                </c:pt>
                <c:pt idx="58">
                  <c:v>420.27473962323756</c:v>
                </c:pt>
                <c:pt idx="59">
                  <c:v>444.2899557260397</c:v>
                </c:pt>
                <c:pt idx="60">
                  <c:v>466.1406358244144</c:v>
                </c:pt>
                <c:pt idx="61">
                  <c:v>485.7203256013458</c:v>
                </c:pt>
                <c:pt idx="62">
                  <c:v>502.9336347763838</c:v>
                </c:pt>
                <c:pt idx="63">
                  <c:v>517.6967018375035</c:v>
                </c:pt>
                <c:pt idx="64">
                  <c:v>529.9376026059613</c:v>
                </c:pt>
                <c:pt idx="65">
                  <c:v>539.5967006436643</c:v>
                </c:pt>
                <c:pt idx="66">
                  <c:v>546.6269377959021</c:v>
                </c:pt>
                <c:pt idx="67">
                  <c:v>550.994063453946</c:v>
                </c:pt>
                <c:pt idx="68">
                  <c:v>552.6768014205718</c:v>
                </c:pt>
                <c:pt idx="69">
                  <c:v>551.6669535655544</c:v>
                </c:pt>
                <c:pt idx="70">
                  <c:v>547.9694397661339</c:v>
                </c:pt>
                <c:pt idx="71">
                  <c:v>541.6022739378682</c:v>
                </c:pt>
                <c:pt idx="72">
                  <c:v>532.5964762726472</c:v>
                </c:pt>
                <c:pt idx="73">
                  <c:v>520.9959221114368</c:v>
                </c:pt>
                <c:pt idx="74">
                  <c:v>506.8571281880265</c:v>
                </c:pt>
                <c:pt idx="75">
                  <c:v>490.24897728518414</c:v>
                </c:pt>
                <c:pt idx="76">
                  <c:v>471.2523826446636</c:v>
                </c:pt>
                <c:pt idx="77">
                  <c:v>449.95989376602165</c:v>
                </c:pt>
                <c:pt idx="78">
                  <c:v>426.47524551476255</c:v>
                </c:pt>
                <c:pt idx="79">
                  <c:v>400.9128527364967</c:v>
                </c:pt>
                <c:pt idx="80">
                  <c:v>373.3972528393183</c:v>
                </c:pt>
                <c:pt idx="81">
                  <c:v>344.06249906006656</c:v>
                </c:pt>
                <c:pt idx="82">
                  <c:v>313.05150737043647</c:v>
                </c:pt>
                <c:pt idx="83">
                  <c:v>280.5153602047251</c:v>
                </c:pt>
                <c:pt idx="84">
                  <c:v>246.61257040140094</c:v>
                </c:pt>
                <c:pt idx="85">
                  <c:v>211.50830894449086</c:v>
                </c:pt>
                <c:pt idx="86">
                  <c:v>175.3736002671432</c:v>
                </c:pt>
                <c:pt idx="87">
                  <c:v>138.38448903778757</c:v>
                </c:pt>
                <c:pt idx="88">
                  <c:v>100.72118248819912</c:v>
                </c:pt>
                <c:pt idx="89">
                  <c:v>62.567172461986964</c:v>
                </c:pt>
                <c:pt idx="90">
                  <c:v>24.108341460769225</c:v>
                </c:pt>
                <c:pt idx="91">
                  <c:v>-14.467942956682394</c:v>
                </c:pt>
                <c:pt idx="92">
                  <c:v>-52.9737410103616</c:v>
                </c:pt>
                <c:pt idx="93">
                  <c:v>-91.22145632274113</c:v>
                </c:pt>
                <c:pt idx="94">
                  <c:v>-129.02474986946402</c:v>
                </c:pt>
                <c:pt idx="95">
                  <c:v>-166.19944780434633</c:v>
                </c:pt>
                <c:pt idx="96">
                  <c:v>-202.564438735835</c:v>
                </c:pt>
                <c:pt idx="97">
                  <c:v>-237.94255608350977</c:v>
                </c:pt>
                <c:pt idx="98">
                  <c:v>-272.1614412158469</c:v>
                </c:pt>
                <c:pt idx="99">
                  <c:v>-305.05438316415365</c:v>
                </c:pt>
                <c:pt idx="100">
                  <c:v>-336.4611308216432</c:v>
                </c:pt>
                <c:pt idx="101">
                  <c:v>-366.2286736707244</c:v>
                </c:pt>
                <c:pt idx="102">
                  <c:v>-394.2119872348601</c:v>
                </c:pt>
                <c:pt idx="103">
                  <c:v>-420.27473962323717</c:v>
                </c:pt>
                <c:pt idx="104">
                  <c:v>-444.28995572603964</c:v>
                </c:pt>
                <c:pt idx="105">
                  <c:v>-466.1406358244144</c:v>
                </c:pt>
                <c:pt idx="106">
                  <c:v>-485.72032560134596</c:v>
                </c:pt>
                <c:pt idx="107">
                  <c:v>-502.93363477638377</c:v>
                </c:pt>
                <c:pt idx="108">
                  <c:v>-517.6967018375036</c:v>
                </c:pt>
                <c:pt idx="109">
                  <c:v>-529.9376026059612</c:v>
                </c:pt>
                <c:pt idx="110">
                  <c:v>-539.5967006436642</c:v>
                </c:pt>
                <c:pt idx="111">
                  <c:v>-546.6269377959021</c:v>
                </c:pt>
                <c:pt idx="112">
                  <c:v>-550.994063453946</c:v>
                </c:pt>
                <c:pt idx="113">
                  <c:v>-552.6768014205718</c:v>
                </c:pt>
                <c:pt idx="114">
                  <c:v>-551.6669535655544</c:v>
                </c:pt>
                <c:pt idx="115">
                  <c:v>-547.9694397661337</c:v>
                </c:pt>
                <c:pt idx="116">
                  <c:v>-541.6022739378682</c:v>
                </c:pt>
                <c:pt idx="117">
                  <c:v>-532.5964762726472</c:v>
                </c:pt>
                <c:pt idx="118">
                  <c:v>-520.9959221114369</c:v>
                </c:pt>
                <c:pt idx="119">
                  <c:v>-506.8571281880262</c:v>
                </c:pt>
                <c:pt idx="120">
                  <c:v>-490.24897728518414</c:v>
                </c:pt>
                <c:pt idx="121">
                  <c:v>-471.25238264466367</c:v>
                </c:pt>
                <c:pt idx="122">
                  <c:v>-449.95989376602165</c:v>
                </c:pt>
                <c:pt idx="123">
                  <c:v>-426.4752455147626</c:v>
                </c:pt>
                <c:pt idx="124">
                  <c:v>-400.9128527364967</c:v>
                </c:pt>
                <c:pt idx="125">
                  <c:v>-373.3972528393183</c:v>
                </c:pt>
                <c:pt idx="126">
                  <c:v>-344.0624990600666</c:v>
                </c:pt>
                <c:pt idx="127">
                  <c:v>-313.0515073704365</c:v>
                </c:pt>
                <c:pt idx="128">
                  <c:v>-280.51536020472435</c:v>
                </c:pt>
                <c:pt idx="129">
                  <c:v>-246.612570401401</c:v>
                </c:pt>
                <c:pt idx="130">
                  <c:v>-211.50830894449092</c:v>
                </c:pt>
                <c:pt idx="131">
                  <c:v>-175.37360026714325</c:v>
                </c:pt>
                <c:pt idx="132">
                  <c:v>-138.38448903778763</c:v>
                </c:pt>
                <c:pt idx="133">
                  <c:v>-100.72118248819918</c:v>
                </c:pt>
                <c:pt idx="134">
                  <c:v>-62.56717246198703</c:v>
                </c:pt>
                <c:pt idx="135">
                  <c:v>-24.108341460769292</c:v>
                </c:pt>
                <c:pt idx="136">
                  <c:v>14.467942956682327</c:v>
                </c:pt>
                <c:pt idx="137">
                  <c:v>52.97374101036252</c:v>
                </c:pt>
                <c:pt idx="138">
                  <c:v>91.22145632274105</c:v>
                </c:pt>
                <c:pt idx="139">
                  <c:v>129.02474986946396</c:v>
                </c:pt>
                <c:pt idx="140">
                  <c:v>166.19944780434628</c:v>
                </c:pt>
                <c:pt idx="141">
                  <c:v>202.56443873583493</c:v>
                </c:pt>
                <c:pt idx="142">
                  <c:v>237.94255608350971</c:v>
                </c:pt>
                <c:pt idx="143">
                  <c:v>272.1614412158468</c:v>
                </c:pt>
                <c:pt idx="144">
                  <c:v>305.0543831641536</c:v>
                </c:pt>
                <c:pt idx="145">
                  <c:v>336.46113082164317</c:v>
                </c:pt>
                <c:pt idx="146">
                  <c:v>366.2286736707251</c:v>
                </c:pt>
                <c:pt idx="147">
                  <c:v>394.21198723486003</c:v>
                </c:pt>
                <c:pt idx="148">
                  <c:v>420.2747396232371</c:v>
                </c:pt>
                <c:pt idx="149">
                  <c:v>444.2899557260396</c:v>
                </c:pt>
                <c:pt idx="150">
                  <c:v>466.14063582441435</c:v>
                </c:pt>
                <c:pt idx="151">
                  <c:v>485.72032560134596</c:v>
                </c:pt>
                <c:pt idx="152">
                  <c:v>502.93363477638377</c:v>
                </c:pt>
                <c:pt idx="153">
                  <c:v>517.6967018375036</c:v>
                </c:pt>
                <c:pt idx="154">
                  <c:v>529.9376026059612</c:v>
                </c:pt>
                <c:pt idx="155">
                  <c:v>539.5967006436643</c:v>
                </c:pt>
                <c:pt idx="156">
                  <c:v>546.6269377959021</c:v>
                </c:pt>
                <c:pt idx="157">
                  <c:v>550.994063453946</c:v>
                </c:pt>
                <c:pt idx="158">
                  <c:v>552.6768014205718</c:v>
                </c:pt>
                <c:pt idx="159">
                  <c:v>551.6669535655544</c:v>
                </c:pt>
                <c:pt idx="160">
                  <c:v>547.9694397661337</c:v>
                </c:pt>
                <c:pt idx="161">
                  <c:v>541.6022739378682</c:v>
                </c:pt>
                <c:pt idx="162">
                  <c:v>532.5964762726472</c:v>
                </c:pt>
                <c:pt idx="163">
                  <c:v>520.9959221114369</c:v>
                </c:pt>
                <c:pt idx="164">
                  <c:v>506.8571281880262</c:v>
                </c:pt>
                <c:pt idx="165">
                  <c:v>490.2489772851842</c:v>
                </c:pt>
                <c:pt idx="166">
                  <c:v>471.25238264466367</c:v>
                </c:pt>
                <c:pt idx="167">
                  <c:v>449.9598937660217</c:v>
                </c:pt>
                <c:pt idx="168">
                  <c:v>426.4752455147626</c:v>
                </c:pt>
                <c:pt idx="169">
                  <c:v>400.91285273649675</c:v>
                </c:pt>
                <c:pt idx="170">
                  <c:v>373.39725283931836</c:v>
                </c:pt>
                <c:pt idx="171">
                  <c:v>344.06249906006667</c:v>
                </c:pt>
                <c:pt idx="172">
                  <c:v>313.0515073704366</c:v>
                </c:pt>
                <c:pt idx="173">
                  <c:v>280.51536020472435</c:v>
                </c:pt>
                <c:pt idx="174">
                  <c:v>246.61257040140103</c:v>
                </c:pt>
                <c:pt idx="175">
                  <c:v>211.50830894449098</c:v>
                </c:pt>
                <c:pt idx="176">
                  <c:v>175.37360026714333</c:v>
                </c:pt>
                <c:pt idx="177">
                  <c:v>138.3844890377877</c:v>
                </c:pt>
                <c:pt idx="178">
                  <c:v>100.72118248819925</c:v>
                </c:pt>
                <c:pt idx="179">
                  <c:v>62.5671724619871</c:v>
                </c:pt>
                <c:pt idx="180">
                  <c:v>24.10834146076936</c:v>
                </c:pt>
              </c:numCache>
            </c:numRef>
          </c:yVal>
        </c:ser>
        <c:ser>
          <c:idx val="1"/>
          <c:order val="1"/>
          <c:tx>
            <c:v>Fm2_Xglo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Feuil1!$AZ$32:$AZ$212</c:f>
              <c:numCache>
                <c:formatCode>General</c:formatCode>
                <c:ptCount val="181"/>
                <c:pt idx="0">
                  <c:v>-24.10834146076958</c:v>
                </c:pt>
                <c:pt idx="1">
                  <c:v>14.467942956682531</c:v>
                </c:pt>
                <c:pt idx="2">
                  <c:v>52.973741010362225</c:v>
                </c:pt>
                <c:pt idx="3">
                  <c:v>91.22145632274102</c:v>
                </c:pt>
                <c:pt idx="4">
                  <c:v>129.0247498694644</c:v>
                </c:pt>
                <c:pt idx="5">
                  <c:v>166.1994478043462</c:v>
                </c:pt>
                <c:pt idx="6">
                  <c:v>202.56443873583535</c:v>
                </c:pt>
                <c:pt idx="7">
                  <c:v>237.9425560835097</c:v>
                </c:pt>
                <c:pt idx="8">
                  <c:v>272.161441215847</c:v>
                </c:pt>
                <c:pt idx="9">
                  <c:v>305.0543831641534</c:v>
                </c:pt>
                <c:pt idx="10">
                  <c:v>336.46113082164334</c:v>
                </c:pt>
                <c:pt idx="11">
                  <c:v>366.22867367072485</c:v>
                </c:pt>
                <c:pt idx="12">
                  <c:v>394.21198723486</c:v>
                </c:pt>
                <c:pt idx="13">
                  <c:v>420.2747396232376</c:v>
                </c:pt>
                <c:pt idx="14">
                  <c:v>444.2899557260394</c:v>
                </c:pt>
                <c:pt idx="15">
                  <c:v>466.14063582441446</c:v>
                </c:pt>
                <c:pt idx="16">
                  <c:v>485.72032560134585</c:v>
                </c:pt>
                <c:pt idx="17">
                  <c:v>502.9336347763838</c:v>
                </c:pt>
                <c:pt idx="18">
                  <c:v>517.6967018375035</c:v>
                </c:pt>
                <c:pt idx="19">
                  <c:v>529.9376026059613</c:v>
                </c:pt>
                <c:pt idx="20">
                  <c:v>539.5967006436643</c:v>
                </c:pt>
                <c:pt idx="21">
                  <c:v>546.6269377959021</c:v>
                </c:pt>
                <c:pt idx="22">
                  <c:v>550.994063453946</c:v>
                </c:pt>
                <c:pt idx="23">
                  <c:v>552.6768014205718</c:v>
                </c:pt>
                <c:pt idx="24">
                  <c:v>551.6669535655544</c:v>
                </c:pt>
                <c:pt idx="25">
                  <c:v>547.9694397661339</c:v>
                </c:pt>
                <c:pt idx="26">
                  <c:v>541.6022739378682</c:v>
                </c:pt>
                <c:pt idx="27">
                  <c:v>532.5964762726474</c:v>
                </c:pt>
                <c:pt idx="28">
                  <c:v>520.9959221114368</c:v>
                </c:pt>
                <c:pt idx="29">
                  <c:v>506.8571281880263</c:v>
                </c:pt>
                <c:pt idx="30">
                  <c:v>490.2489772851841</c:v>
                </c:pt>
                <c:pt idx="31">
                  <c:v>471.2523826446633</c:v>
                </c:pt>
                <c:pt idx="32">
                  <c:v>449.9598937660216</c:v>
                </c:pt>
                <c:pt idx="33">
                  <c:v>426.4752455147625</c:v>
                </c:pt>
                <c:pt idx="34">
                  <c:v>400.9128527364969</c:v>
                </c:pt>
                <c:pt idx="35">
                  <c:v>373.3972528393182</c:v>
                </c:pt>
                <c:pt idx="36">
                  <c:v>344.0624990600669</c:v>
                </c:pt>
                <c:pt idx="37">
                  <c:v>313.05150737043647</c:v>
                </c:pt>
                <c:pt idx="38">
                  <c:v>280.5153602047247</c:v>
                </c:pt>
                <c:pt idx="39">
                  <c:v>246.6125704014009</c:v>
                </c:pt>
                <c:pt idx="40">
                  <c:v>211.50830894449032</c:v>
                </c:pt>
                <c:pt idx="41">
                  <c:v>175.37360026714313</c:v>
                </c:pt>
                <c:pt idx="42">
                  <c:v>138.38448903778752</c:v>
                </c:pt>
                <c:pt idx="43">
                  <c:v>100.72118248819953</c:v>
                </c:pt>
                <c:pt idx="44">
                  <c:v>62.5671724619869</c:v>
                </c:pt>
                <c:pt idx="45">
                  <c:v>24.108341460769648</c:v>
                </c:pt>
                <c:pt idx="46">
                  <c:v>-14.467942956682464</c:v>
                </c:pt>
                <c:pt idx="47">
                  <c:v>-52.973741010362154</c:v>
                </c:pt>
                <c:pt idx="48">
                  <c:v>-91.22145632274119</c:v>
                </c:pt>
                <c:pt idx="49">
                  <c:v>-129.02474986946456</c:v>
                </c:pt>
                <c:pt idx="50">
                  <c:v>-166.1994478043464</c:v>
                </c:pt>
                <c:pt idx="51">
                  <c:v>-202.56443873583507</c:v>
                </c:pt>
                <c:pt idx="52">
                  <c:v>-237.94255608350937</c:v>
                </c:pt>
                <c:pt idx="53">
                  <c:v>-272.16144121584693</c:v>
                </c:pt>
                <c:pt idx="54">
                  <c:v>-305.05438316415336</c:v>
                </c:pt>
                <c:pt idx="55">
                  <c:v>-336.4611308216433</c:v>
                </c:pt>
                <c:pt idx="56">
                  <c:v>-366.22867367072485</c:v>
                </c:pt>
                <c:pt idx="57">
                  <c:v>-394.21198723486015</c:v>
                </c:pt>
                <c:pt idx="58">
                  <c:v>-420.27473962323756</c:v>
                </c:pt>
                <c:pt idx="59">
                  <c:v>-444.2899557260397</c:v>
                </c:pt>
                <c:pt idx="60">
                  <c:v>-466.1406358244144</c:v>
                </c:pt>
                <c:pt idx="61">
                  <c:v>-485.7203256013458</c:v>
                </c:pt>
                <c:pt idx="62">
                  <c:v>-502.9336347763838</c:v>
                </c:pt>
                <c:pt idx="63">
                  <c:v>-517.6967018375035</c:v>
                </c:pt>
                <c:pt idx="64">
                  <c:v>-529.9376026059613</c:v>
                </c:pt>
                <c:pt idx="65">
                  <c:v>-539.5967006436643</c:v>
                </c:pt>
                <c:pt idx="66">
                  <c:v>-546.6269377959021</c:v>
                </c:pt>
                <c:pt idx="67">
                  <c:v>-550.994063453946</c:v>
                </c:pt>
                <c:pt idx="68">
                  <c:v>-552.6768014205718</c:v>
                </c:pt>
                <c:pt idx="69">
                  <c:v>-551.6669535655544</c:v>
                </c:pt>
                <c:pt idx="70">
                  <c:v>-547.9694397661339</c:v>
                </c:pt>
                <c:pt idx="71">
                  <c:v>-541.6022739378682</c:v>
                </c:pt>
                <c:pt idx="72">
                  <c:v>-532.5964762726472</c:v>
                </c:pt>
                <c:pt idx="73">
                  <c:v>-520.9959221114368</c:v>
                </c:pt>
                <c:pt idx="74">
                  <c:v>-506.8571281880265</c:v>
                </c:pt>
                <c:pt idx="75">
                  <c:v>-490.24897728518414</c:v>
                </c:pt>
                <c:pt idx="76">
                  <c:v>-471.2523826446636</c:v>
                </c:pt>
                <c:pt idx="77">
                  <c:v>-449.95989376602165</c:v>
                </c:pt>
                <c:pt idx="78">
                  <c:v>-426.47524551476255</c:v>
                </c:pt>
                <c:pt idx="79">
                  <c:v>-400.9128527364967</c:v>
                </c:pt>
                <c:pt idx="80">
                  <c:v>-373.3972528393183</c:v>
                </c:pt>
                <c:pt idx="81">
                  <c:v>-344.06249906006656</c:v>
                </c:pt>
                <c:pt idx="82">
                  <c:v>-313.05150737043647</c:v>
                </c:pt>
                <c:pt idx="83">
                  <c:v>-280.5153602047251</c:v>
                </c:pt>
                <c:pt idx="84">
                  <c:v>-246.61257040140094</c:v>
                </c:pt>
                <c:pt idx="85">
                  <c:v>-211.50830894449086</c:v>
                </c:pt>
                <c:pt idx="86">
                  <c:v>-175.3736002671432</c:v>
                </c:pt>
                <c:pt idx="87">
                  <c:v>-138.38448903778757</c:v>
                </c:pt>
                <c:pt idx="88">
                  <c:v>-100.72118248819912</c:v>
                </c:pt>
                <c:pt idx="89">
                  <c:v>-62.567172461986964</c:v>
                </c:pt>
                <c:pt idx="90">
                  <c:v>-24.108341460769225</c:v>
                </c:pt>
                <c:pt idx="91">
                  <c:v>14.467942956682394</c:v>
                </c:pt>
                <c:pt idx="92">
                  <c:v>52.9737410103616</c:v>
                </c:pt>
                <c:pt idx="93">
                  <c:v>91.22145632274113</c:v>
                </c:pt>
                <c:pt idx="94">
                  <c:v>129.02474986946402</c:v>
                </c:pt>
                <c:pt idx="95">
                  <c:v>166.19944780434633</c:v>
                </c:pt>
                <c:pt idx="96">
                  <c:v>202.564438735835</c:v>
                </c:pt>
                <c:pt idx="97">
                  <c:v>237.94255608350977</c:v>
                </c:pt>
                <c:pt idx="98">
                  <c:v>272.1614412158469</c:v>
                </c:pt>
                <c:pt idx="99">
                  <c:v>305.05438316415365</c:v>
                </c:pt>
                <c:pt idx="100">
                  <c:v>336.4611308216432</c:v>
                </c:pt>
                <c:pt idx="101">
                  <c:v>366.2286736707244</c:v>
                </c:pt>
                <c:pt idx="102">
                  <c:v>394.2119872348601</c:v>
                </c:pt>
                <c:pt idx="103">
                  <c:v>420.27473962323717</c:v>
                </c:pt>
                <c:pt idx="104">
                  <c:v>444.28995572603964</c:v>
                </c:pt>
                <c:pt idx="105">
                  <c:v>466.1406358244144</c:v>
                </c:pt>
                <c:pt idx="106">
                  <c:v>485.72032560134596</c:v>
                </c:pt>
                <c:pt idx="107">
                  <c:v>502.93363477638377</c:v>
                </c:pt>
                <c:pt idx="108">
                  <c:v>517.6967018375036</c:v>
                </c:pt>
                <c:pt idx="109">
                  <c:v>529.9376026059612</c:v>
                </c:pt>
                <c:pt idx="110">
                  <c:v>539.5967006436642</c:v>
                </c:pt>
                <c:pt idx="111">
                  <c:v>546.6269377959021</c:v>
                </c:pt>
                <c:pt idx="112">
                  <c:v>550.994063453946</c:v>
                </c:pt>
                <c:pt idx="113">
                  <c:v>552.6768014205718</c:v>
                </c:pt>
                <c:pt idx="114">
                  <c:v>551.6669535655544</c:v>
                </c:pt>
                <c:pt idx="115">
                  <c:v>547.9694397661337</c:v>
                </c:pt>
                <c:pt idx="116">
                  <c:v>541.6022739378682</c:v>
                </c:pt>
                <c:pt idx="117">
                  <c:v>532.5964762726472</c:v>
                </c:pt>
                <c:pt idx="118">
                  <c:v>520.9959221114369</c:v>
                </c:pt>
                <c:pt idx="119">
                  <c:v>506.8571281880262</c:v>
                </c:pt>
                <c:pt idx="120">
                  <c:v>490.24897728518414</c:v>
                </c:pt>
                <c:pt idx="121">
                  <c:v>471.25238264466367</c:v>
                </c:pt>
                <c:pt idx="122">
                  <c:v>449.95989376602165</c:v>
                </c:pt>
                <c:pt idx="123">
                  <c:v>426.4752455147626</c:v>
                </c:pt>
                <c:pt idx="124">
                  <c:v>400.9128527364967</c:v>
                </c:pt>
                <c:pt idx="125">
                  <c:v>373.3972528393183</c:v>
                </c:pt>
                <c:pt idx="126">
                  <c:v>344.0624990600666</c:v>
                </c:pt>
                <c:pt idx="127">
                  <c:v>313.0515073704365</c:v>
                </c:pt>
                <c:pt idx="128">
                  <c:v>280.51536020472435</c:v>
                </c:pt>
                <c:pt idx="129">
                  <c:v>246.612570401401</c:v>
                </c:pt>
                <c:pt idx="130">
                  <c:v>211.50830894449092</c:v>
                </c:pt>
                <c:pt idx="131">
                  <c:v>175.37360026714325</c:v>
                </c:pt>
                <c:pt idx="132">
                  <c:v>138.38448903778763</c:v>
                </c:pt>
                <c:pt idx="133">
                  <c:v>100.72118248819918</c:v>
                </c:pt>
                <c:pt idx="134">
                  <c:v>62.56717246198703</c:v>
                </c:pt>
                <c:pt idx="135">
                  <c:v>24.108341460769292</c:v>
                </c:pt>
                <c:pt idx="136">
                  <c:v>-14.467942956682327</c:v>
                </c:pt>
                <c:pt idx="137">
                  <c:v>-52.97374101036252</c:v>
                </c:pt>
                <c:pt idx="138">
                  <c:v>-91.22145632274105</c:v>
                </c:pt>
                <c:pt idx="139">
                  <c:v>-129.02474986946396</c:v>
                </c:pt>
                <c:pt idx="140">
                  <c:v>-166.19944780434628</c:v>
                </c:pt>
                <c:pt idx="141">
                  <c:v>-202.56443873583493</c:v>
                </c:pt>
                <c:pt idx="142">
                  <c:v>-237.94255608350971</c:v>
                </c:pt>
                <c:pt idx="143">
                  <c:v>-272.1614412158468</c:v>
                </c:pt>
                <c:pt idx="144">
                  <c:v>-305.0543831641536</c:v>
                </c:pt>
                <c:pt idx="145">
                  <c:v>-336.46113082164317</c:v>
                </c:pt>
                <c:pt idx="146">
                  <c:v>-366.2286736707251</c:v>
                </c:pt>
                <c:pt idx="147">
                  <c:v>-394.21198723486003</c:v>
                </c:pt>
                <c:pt idx="148">
                  <c:v>-420.2747396232371</c:v>
                </c:pt>
                <c:pt idx="149">
                  <c:v>-444.2899557260396</c:v>
                </c:pt>
                <c:pt idx="150">
                  <c:v>-466.14063582441435</c:v>
                </c:pt>
                <c:pt idx="151">
                  <c:v>-485.72032560134596</c:v>
                </c:pt>
                <c:pt idx="152">
                  <c:v>-502.93363477638377</c:v>
                </c:pt>
                <c:pt idx="153">
                  <c:v>-517.6967018375036</c:v>
                </c:pt>
                <c:pt idx="154">
                  <c:v>-529.9376026059612</c:v>
                </c:pt>
                <c:pt idx="155">
                  <c:v>-539.5967006436643</c:v>
                </c:pt>
                <c:pt idx="156">
                  <c:v>-546.6269377959021</c:v>
                </c:pt>
                <c:pt idx="157">
                  <c:v>-550.994063453946</c:v>
                </c:pt>
                <c:pt idx="158">
                  <c:v>-552.6768014205718</c:v>
                </c:pt>
                <c:pt idx="159">
                  <c:v>-551.6669535655544</c:v>
                </c:pt>
                <c:pt idx="160">
                  <c:v>-547.9694397661337</c:v>
                </c:pt>
                <c:pt idx="161">
                  <c:v>-541.6022739378682</c:v>
                </c:pt>
                <c:pt idx="162">
                  <c:v>-532.5964762726472</c:v>
                </c:pt>
                <c:pt idx="163">
                  <c:v>-520.9959221114369</c:v>
                </c:pt>
                <c:pt idx="164">
                  <c:v>-506.8571281880262</c:v>
                </c:pt>
                <c:pt idx="165">
                  <c:v>-490.2489772851842</c:v>
                </c:pt>
                <c:pt idx="166">
                  <c:v>-471.25238264466367</c:v>
                </c:pt>
                <c:pt idx="167">
                  <c:v>-449.9598937660217</c:v>
                </c:pt>
                <c:pt idx="168">
                  <c:v>-426.4752455147626</c:v>
                </c:pt>
                <c:pt idx="169">
                  <c:v>-400.91285273649675</c:v>
                </c:pt>
                <c:pt idx="170">
                  <c:v>-373.39725283931836</c:v>
                </c:pt>
                <c:pt idx="171">
                  <c:v>-344.06249906006667</c:v>
                </c:pt>
                <c:pt idx="172">
                  <c:v>-313.0515073704366</c:v>
                </c:pt>
                <c:pt idx="173">
                  <c:v>-280.51536020472435</c:v>
                </c:pt>
                <c:pt idx="174">
                  <c:v>-246.61257040140103</c:v>
                </c:pt>
                <c:pt idx="175">
                  <c:v>-211.50830894449098</c:v>
                </c:pt>
                <c:pt idx="176">
                  <c:v>-175.37360026714333</c:v>
                </c:pt>
                <c:pt idx="177">
                  <c:v>-138.3844890377877</c:v>
                </c:pt>
                <c:pt idx="178">
                  <c:v>-100.72118248819925</c:v>
                </c:pt>
                <c:pt idx="179">
                  <c:v>-62.5671724619871</c:v>
                </c:pt>
                <c:pt idx="180">
                  <c:v>-24.10834146076936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9760"/>
        <c:axId val="336041442"/>
      </c:scatterChart>
      <c:valAx>
        <c:axId val="33604144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Force en 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1339760"/>
        <c:crosses val="autoZero"/>
        <c:crossBetween val="midCat"/>
      </c:valAx>
      <c:valAx>
        <c:axId val="421339760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336041442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1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Force masses individuelles Y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Fm1_Yglo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Feuil1!$BA$32:$BA$212</c:f>
              <c:numCache>
                <c:formatCode>General</c:formatCode>
                <c:ptCount val="181"/>
                <c:pt idx="0">
                  <c:v>-552.1718005789888</c:v>
                </c:pt>
                <c:pt idx="1">
                  <c:v>-552.5084507129586</c:v>
                </c:pt>
                <c:pt idx="2">
                  <c:v>-550.1533352130102</c:v>
                </c:pt>
                <c:pt idx="3">
                  <c:v>-545.1179279651238</c:v>
                </c:pt>
                <c:pt idx="4">
                  <c:v>-537.4267609672539</c:v>
                </c:pt>
                <c:pt idx="5">
                  <c:v>-527.1173048119006</c:v>
                </c:pt>
                <c:pt idx="6">
                  <c:v>-514.2397861331498</c:v>
                </c:pt>
                <c:pt idx="7">
                  <c:v>-498.85694290756095</c:v>
                </c:pt>
                <c:pt idx="8">
                  <c:v>-481.04371880105117</c:v>
                </c:pt>
                <c:pt idx="9">
                  <c:v>-460.88689805088796</c:v>
                </c:pt>
                <c:pt idx="10">
                  <c:v>-438.48468266160984</c:v>
                </c:pt>
                <c:pt idx="11">
                  <c:v>-413.94621397473054</c:v>
                </c:pt>
                <c:pt idx="12">
                  <c:v>-387.3910409430945</c:v>
                </c:pt>
                <c:pt idx="13">
                  <c:v>-358.9485377003945</c:v>
                </c:pt>
                <c:pt idx="14">
                  <c:v>-328.75727326339967</c:v>
                </c:pt>
                <c:pt idx="15">
                  <c:v>-296.9643364376307</c:v>
                </c:pt>
                <c:pt idx="16">
                  <c:v>-263.7246192154883</c:v>
                </c:pt>
                <c:pt idx="17">
                  <c:v>-229.20006215803406</c:v>
                </c:pt>
                <c:pt idx="18">
                  <c:v>-193.55886543685557</c:v>
                </c:pt>
                <c:pt idx="19">
                  <c:v>-156.9746693797378</c:v>
                </c:pt>
                <c:pt idx="20">
                  <c:v>-119.62570851244057</c:v>
                </c:pt>
                <c:pt idx="21">
                  <c:v>-81.69394321800488</c:v>
                </c:pt>
                <c:pt idx="22">
                  <c:v>-43.364173244057525</c:v>
                </c:pt>
                <c:pt idx="23">
                  <c:v>-4.823137377016581</c:v>
                </c:pt>
                <c:pt idx="24">
                  <c:v>33.74139633050463</c:v>
                </c:pt>
                <c:pt idx="25">
                  <c:v>72.1415453467774</c:v>
                </c:pt>
                <c:pt idx="26">
                  <c:v>110.19022800576346</c:v>
                </c:pt>
                <c:pt idx="27">
                  <c:v>147.70207495018843</c:v>
                </c:pt>
                <c:pt idx="28">
                  <c:v>184.49433223241672</c:v>
                </c:pt>
                <c:pt idx="29">
                  <c:v>220.3877516733141</c:v>
                </c:pt>
                <c:pt idx="30">
                  <c:v>255.20746414135846</c:v>
                </c:pt>
                <c:pt idx="31">
                  <c:v>288.7838314974706</c:v>
                </c:pt>
                <c:pt idx="32">
                  <c:v>320.9532730549764</c:v>
                </c:pt>
                <c:pt idx="33">
                  <c:v>351.55906252826816</c:v>
                </c:pt>
                <c:pt idx="34">
                  <c:v>380.45209158751595</c:v>
                </c:pt>
                <c:pt idx="35">
                  <c:v>407.49159629945984</c:v>
                </c:pt>
                <c:pt idx="36">
                  <c:v>432.5458429151448</c:v>
                </c:pt>
                <c:pt idx="37">
                  <c:v>455.4927696635033</c:v>
                </c:pt>
                <c:pt idx="38">
                  <c:v>476.22058142403426</c:v>
                </c:pt>
                <c:pt idx="39">
                  <c:v>494.62829438139283</c:v>
                </c:pt>
                <c:pt idx="40">
                  <c:v>510.6262280083875</c:v>
                </c:pt>
                <c:pt idx="41">
                  <c:v>524.1364419804943</c:v>
                </c:pt>
                <c:pt idx="42">
                  <c:v>535.0931158932827</c:v>
                </c:pt>
                <c:pt idx="43">
                  <c:v>543.4428699328114</c:v>
                </c:pt>
                <c:pt idx="44">
                  <c:v>549.1450249367135</c:v>
                </c:pt>
                <c:pt idx="45">
                  <c:v>552.1718005789888</c:v>
                </c:pt>
                <c:pt idx="46">
                  <c:v>552.5084507129586</c:v>
                </c:pt>
                <c:pt idx="47">
                  <c:v>550.1533352130102</c:v>
                </c:pt>
                <c:pt idx="48">
                  <c:v>545.1179279651238</c:v>
                </c:pt>
                <c:pt idx="49">
                  <c:v>537.4267609672538</c:v>
                </c:pt>
                <c:pt idx="50">
                  <c:v>527.1173048119005</c:v>
                </c:pt>
                <c:pt idx="51">
                  <c:v>514.23978613315</c:v>
                </c:pt>
                <c:pt idx="52">
                  <c:v>498.85694290756106</c:v>
                </c:pt>
                <c:pt idx="53">
                  <c:v>481.04371880105117</c:v>
                </c:pt>
                <c:pt idx="54">
                  <c:v>460.886898050888</c:v>
                </c:pt>
                <c:pt idx="55">
                  <c:v>438.4846826616099</c:v>
                </c:pt>
                <c:pt idx="56">
                  <c:v>413.9462139747306</c:v>
                </c:pt>
                <c:pt idx="57">
                  <c:v>387.39104094309437</c:v>
                </c:pt>
                <c:pt idx="58">
                  <c:v>358.9485377003946</c:v>
                </c:pt>
                <c:pt idx="59">
                  <c:v>328.75727326339927</c:v>
                </c:pt>
                <c:pt idx="60">
                  <c:v>296.9643364376308</c:v>
                </c:pt>
                <c:pt idx="61">
                  <c:v>263.72461921548836</c:v>
                </c:pt>
                <c:pt idx="62">
                  <c:v>229.20006215803411</c:v>
                </c:pt>
                <c:pt idx="63">
                  <c:v>193.55886543685563</c:v>
                </c:pt>
                <c:pt idx="64">
                  <c:v>156.97466937973786</c:v>
                </c:pt>
                <c:pt idx="65">
                  <c:v>119.62570851244062</c:v>
                </c:pt>
                <c:pt idx="66">
                  <c:v>81.69394321800495</c:v>
                </c:pt>
                <c:pt idx="67">
                  <c:v>43.364173244057596</c:v>
                </c:pt>
                <c:pt idx="68">
                  <c:v>4.823137377016649</c:v>
                </c:pt>
                <c:pt idx="69">
                  <c:v>-33.74139633050456</c:v>
                </c:pt>
                <c:pt idx="70">
                  <c:v>-72.14154534677733</c:v>
                </c:pt>
                <c:pt idx="71">
                  <c:v>-110.1902280057634</c:v>
                </c:pt>
                <c:pt idx="72">
                  <c:v>-147.70207495018883</c:v>
                </c:pt>
                <c:pt idx="73">
                  <c:v>-184.49433223241667</c:v>
                </c:pt>
                <c:pt idx="74">
                  <c:v>-220.38775167331357</c:v>
                </c:pt>
                <c:pt idx="75">
                  <c:v>-255.20746414135837</c:v>
                </c:pt>
                <c:pt idx="76">
                  <c:v>-288.7838314974702</c:v>
                </c:pt>
                <c:pt idx="77">
                  <c:v>-320.9532730549763</c:v>
                </c:pt>
                <c:pt idx="78">
                  <c:v>-351.5590625282681</c:v>
                </c:pt>
                <c:pt idx="79">
                  <c:v>-380.45209158751624</c:v>
                </c:pt>
                <c:pt idx="80">
                  <c:v>-407.4915962994598</c:v>
                </c:pt>
                <c:pt idx="81">
                  <c:v>-432.5458429151451</c:v>
                </c:pt>
                <c:pt idx="82">
                  <c:v>-455.4927696635033</c:v>
                </c:pt>
                <c:pt idx="83">
                  <c:v>-476.22058142403404</c:v>
                </c:pt>
                <c:pt idx="84">
                  <c:v>-494.62829438139283</c:v>
                </c:pt>
                <c:pt idx="85">
                  <c:v>-510.6262280083873</c:v>
                </c:pt>
                <c:pt idx="86">
                  <c:v>-524.1364419804943</c:v>
                </c:pt>
                <c:pt idx="87">
                  <c:v>-535.0931158932827</c:v>
                </c:pt>
                <c:pt idx="88">
                  <c:v>-543.4428699328114</c:v>
                </c:pt>
                <c:pt idx="89">
                  <c:v>-549.1450249367135</c:v>
                </c:pt>
                <c:pt idx="90">
                  <c:v>-552.1718005789888</c:v>
                </c:pt>
                <c:pt idx="91">
                  <c:v>-552.5084507129586</c:v>
                </c:pt>
                <c:pt idx="92">
                  <c:v>-550.1533352130102</c:v>
                </c:pt>
                <c:pt idx="93">
                  <c:v>-545.1179279651238</c:v>
                </c:pt>
                <c:pt idx="94">
                  <c:v>-537.4267609672539</c:v>
                </c:pt>
                <c:pt idx="95">
                  <c:v>-527.1173048119005</c:v>
                </c:pt>
                <c:pt idx="96">
                  <c:v>-514.23978613315</c:v>
                </c:pt>
                <c:pt idx="97">
                  <c:v>-498.8569429075609</c:v>
                </c:pt>
                <c:pt idx="98">
                  <c:v>-481.0437188010512</c:v>
                </c:pt>
                <c:pt idx="99">
                  <c:v>-460.8868980508878</c:v>
                </c:pt>
                <c:pt idx="100">
                  <c:v>-438.4846826616099</c:v>
                </c:pt>
                <c:pt idx="101">
                  <c:v>-413.946213974731</c:v>
                </c:pt>
                <c:pt idx="102">
                  <c:v>-387.39104094309437</c:v>
                </c:pt>
                <c:pt idx="103">
                  <c:v>-358.948537700395</c:v>
                </c:pt>
                <c:pt idx="104">
                  <c:v>-328.7572732633993</c:v>
                </c:pt>
                <c:pt idx="105">
                  <c:v>-296.9643364376308</c:v>
                </c:pt>
                <c:pt idx="106">
                  <c:v>-263.72461921548796</c:v>
                </c:pt>
                <c:pt idx="107">
                  <c:v>-229.20006215803417</c:v>
                </c:pt>
                <c:pt idx="108">
                  <c:v>-193.55886543685523</c:v>
                </c:pt>
                <c:pt idx="109">
                  <c:v>-156.97466937973792</c:v>
                </c:pt>
                <c:pt idx="110">
                  <c:v>-119.62570851244116</c:v>
                </c:pt>
                <c:pt idx="111">
                  <c:v>-81.693943218005</c:v>
                </c:pt>
                <c:pt idx="112">
                  <c:v>-43.36417324405815</c:v>
                </c:pt>
                <c:pt idx="113">
                  <c:v>-4.823137377016716</c:v>
                </c:pt>
                <c:pt idx="114">
                  <c:v>33.741396330504486</c:v>
                </c:pt>
                <c:pt idx="115">
                  <c:v>72.14154534677776</c:v>
                </c:pt>
                <c:pt idx="116">
                  <c:v>110.19022800576333</c:v>
                </c:pt>
                <c:pt idx="117">
                  <c:v>147.70207495018875</c:v>
                </c:pt>
                <c:pt idx="118">
                  <c:v>184.49433223241658</c:v>
                </c:pt>
                <c:pt idx="119">
                  <c:v>220.38775167331445</c:v>
                </c:pt>
                <c:pt idx="120">
                  <c:v>255.20746414135832</c:v>
                </c:pt>
                <c:pt idx="121">
                  <c:v>288.78383149747015</c:v>
                </c:pt>
                <c:pt idx="122">
                  <c:v>320.9532730549763</c:v>
                </c:pt>
                <c:pt idx="123">
                  <c:v>351.55906252826804</c:v>
                </c:pt>
                <c:pt idx="124">
                  <c:v>380.4520915875162</c:v>
                </c:pt>
                <c:pt idx="125">
                  <c:v>407.4915962994598</c:v>
                </c:pt>
                <c:pt idx="126">
                  <c:v>432.5458429151451</c:v>
                </c:pt>
                <c:pt idx="127">
                  <c:v>455.4927696635032</c:v>
                </c:pt>
                <c:pt idx="128">
                  <c:v>476.22058142403444</c:v>
                </c:pt>
                <c:pt idx="129">
                  <c:v>494.6282943813928</c:v>
                </c:pt>
                <c:pt idx="130">
                  <c:v>510.6262280083873</c:v>
                </c:pt>
                <c:pt idx="131">
                  <c:v>524.1364419804942</c:v>
                </c:pt>
                <c:pt idx="132">
                  <c:v>535.0931158932827</c:v>
                </c:pt>
                <c:pt idx="133">
                  <c:v>543.4428699328114</c:v>
                </c:pt>
                <c:pt idx="134">
                  <c:v>549.1450249367135</c:v>
                </c:pt>
                <c:pt idx="135">
                  <c:v>552.1718005789888</c:v>
                </c:pt>
                <c:pt idx="136">
                  <c:v>552.5084507129586</c:v>
                </c:pt>
                <c:pt idx="137">
                  <c:v>550.1533352130102</c:v>
                </c:pt>
                <c:pt idx="138">
                  <c:v>545.1179279651238</c:v>
                </c:pt>
                <c:pt idx="139">
                  <c:v>537.4267609672539</c:v>
                </c:pt>
                <c:pt idx="140">
                  <c:v>527.1173048119006</c:v>
                </c:pt>
                <c:pt idx="141">
                  <c:v>514.23978613315</c:v>
                </c:pt>
                <c:pt idx="142">
                  <c:v>498.85694290756095</c:v>
                </c:pt>
                <c:pt idx="143">
                  <c:v>481.0437188010512</c:v>
                </c:pt>
                <c:pt idx="144">
                  <c:v>460.88689805088785</c:v>
                </c:pt>
                <c:pt idx="145">
                  <c:v>438.48468266160995</c:v>
                </c:pt>
                <c:pt idx="146">
                  <c:v>413.94621397473037</c:v>
                </c:pt>
                <c:pt idx="147">
                  <c:v>387.3910409430944</c:v>
                </c:pt>
                <c:pt idx="148">
                  <c:v>358.9485377003951</c:v>
                </c:pt>
                <c:pt idx="149">
                  <c:v>328.75727326339944</c:v>
                </c:pt>
                <c:pt idx="150">
                  <c:v>296.96433643763083</c:v>
                </c:pt>
                <c:pt idx="151">
                  <c:v>263.724619215488</c:v>
                </c:pt>
                <c:pt idx="152">
                  <c:v>229.20006215803423</c:v>
                </c:pt>
                <c:pt idx="153">
                  <c:v>193.55886543685529</c:v>
                </c:pt>
                <c:pt idx="154">
                  <c:v>156.97466937973797</c:v>
                </c:pt>
                <c:pt idx="155">
                  <c:v>119.62570851244027</c:v>
                </c:pt>
                <c:pt idx="156">
                  <c:v>81.69394321800507</c:v>
                </c:pt>
                <c:pt idx="157">
                  <c:v>43.364173244058215</c:v>
                </c:pt>
                <c:pt idx="158">
                  <c:v>4.823137377016784</c:v>
                </c:pt>
                <c:pt idx="159">
                  <c:v>-33.74139633050442</c:v>
                </c:pt>
                <c:pt idx="160">
                  <c:v>-72.14154534677769</c:v>
                </c:pt>
                <c:pt idx="161">
                  <c:v>-110.19022800576326</c:v>
                </c:pt>
                <c:pt idx="162">
                  <c:v>-147.7020749501887</c:v>
                </c:pt>
                <c:pt idx="163">
                  <c:v>-184.49433223241653</c:v>
                </c:pt>
                <c:pt idx="164">
                  <c:v>-220.3877516733144</c:v>
                </c:pt>
                <c:pt idx="165">
                  <c:v>-255.20746414135826</c:v>
                </c:pt>
                <c:pt idx="166">
                  <c:v>-288.7838314974701</c:v>
                </c:pt>
                <c:pt idx="167">
                  <c:v>-320.95327305497625</c:v>
                </c:pt>
                <c:pt idx="168">
                  <c:v>-351.559062528268</c:v>
                </c:pt>
                <c:pt idx="169">
                  <c:v>-380.4520915875162</c:v>
                </c:pt>
                <c:pt idx="170">
                  <c:v>-407.49159629945973</c:v>
                </c:pt>
                <c:pt idx="171">
                  <c:v>-432.54584291514504</c:v>
                </c:pt>
                <c:pt idx="172">
                  <c:v>-455.49276966350317</c:v>
                </c:pt>
                <c:pt idx="173">
                  <c:v>-476.22058142403444</c:v>
                </c:pt>
                <c:pt idx="174">
                  <c:v>-494.6282943813928</c:v>
                </c:pt>
                <c:pt idx="175">
                  <c:v>-510.6262280083873</c:v>
                </c:pt>
                <c:pt idx="176">
                  <c:v>-524.1364419804942</c:v>
                </c:pt>
                <c:pt idx="177">
                  <c:v>-535.0931158932827</c:v>
                </c:pt>
                <c:pt idx="178">
                  <c:v>-543.4428699328114</c:v>
                </c:pt>
                <c:pt idx="179">
                  <c:v>-549.1450249367135</c:v>
                </c:pt>
                <c:pt idx="180">
                  <c:v>-552.1718005789888</c:v>
                </c:pt>
              </c:numCache>
            </c:numRef>
          </c:yVal>
        </c:ser>
        <c:ser>
          <c:idx val="1"/>
          <c:order val="1"/>
          <c:tx>
            <c:v>Fm2_Yglo</c:v>
          </c:tx>
          <c:spPr>
            <a:ln xmlns:a="http://schemas.openxmlformats.org/drawingml/2006/main">
              <a:noFill/>
            </a:ln>
          </c:spPr>
          <c:marker>
            <c:symbol val="circle"/>
            <c:size val="7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Feuil1!$BB$32:$BB$212</c:f>
              <c:numCache>
                <c:formatCode>General</c:formatCode>
                <c:ptCount val="181"/>
                <c:pt idx="0">
                  <c:v>-552.1718005789888</c:v>
                </c:pt>
                <c:pt idx="1">
                  <c:v>-552.5084507129586</c:v>
                </c:pt>
                <c:pt idx="2">
                  <c:v>-550.1533352130102</c:v>
                </c:pt>
                <c:pt idx="3">
                  <c:v>-545.1179279651238</c:v>
                </c:pt>
                <c:pt idx="4">
                  <c:v>-537.4267609672539</c:v>
                </c:pt>
                <c:pt idx="5">
                  <c:v>-527.1173048119006</c:v>
                </c:pt>
                <c:pt idx="6">
                  <c:v>-514.2397861331498</c:v>
                </c:pt>
                <c:pt idx="7">
                  <c:v>-498.85694290756095</c:v>
                </c:pt>
                <c:pt idx="8">
                  <c:v>-481.04371880105117</c:v>
                </c:pt>
                <c:pt idx="9">
                  <c:v>-460.88689805088796</c:v>
                </c:pt>
                <c:pt idx="10">
                  <c:v>-438.48468266160984</c:v>
                </c:pt>
                <c:pt idx="11">
                  <c:v>-413.94621397473054</c:v>
                </c:pt>
                <c:pt idx="12">
                  <c:v>-387.3910409430945</c:v>
                </c:pt>
                <c:pt idx="13">
                  <c:v>-358.9485377003945</c:v>
                </c:pt>
                <c:pt idx="14">
                  <c:v>-328.75727326339967</c:v>
                </c:pt>
                <c:pt idx="15">
                  <c:v>-296.9643364376307</c:v>
                </c:pt>
                <c:pt idx="16">
                  <c:v>-263.7246192154883</c:v>
                </c:pt>
                <c:pt idx="17">
                  <c:v>-229.20006215803406</c:v>
                </c:pt>
                <c:pt idx="18">
                  <c:v>-193.55886543685557</c:v>
                </c:pt>
                <c:pt idx="19">
                  <c:v>-156.9746693797378</c:v>
                </c:pt>
                <c:pt idx="20">
                  <c:v>-119.62570851244057</c:v>
                </c:pt>
                <c:pt idx="21">
                  <c:v>-81.69394321800488</c:v>
                </c:pt>
                <c:pt idx="22">
                  <c:v>-43.364173244057525</c:v>
                </c:pt>
                <c:pt idx="23">
                  <c:v>-4.823137377016581</c:v>
                </c:pt>
                <c:pt idx="24">
                  <c:v>33.74139633050463</c:v>
                </c:pt>
                <c:pt idx="25">
                  <c:v>72.1415453467774</c:v>
                </c:pt>
                <c:pt idx="26">
                  <c:v>110.19022800576346</c:v>
                </c:pt>
                <c:pt idx="27">
                  <c:v>147.70207495018843</c:v>
                </c:pt>
                <c:pt idx="28">
                  <c:v>184.49433223241672</c:v>
                </c:pt>
                <c:pt idx="29">
                  <c:v>220.3877516733141</c:v>
                </c:pt>
                <c:pt idx="30">
                  <c:v>255.20746414135846</c:v>
                </c:pt>
                <c:pt idx="31">
                  <c:v>288.7838314974706</c:v>
                </c:pt>
                <c:pt idx="32">
                  <c:v>320.9532730549764</c:v>
                </c:pt>
                <c:pt idx="33">
                  <c:v>351.55906252826816</c:v>
                </c:pt>
                <c:pt idx="34">
                  <c:v>380.45209158751595</c:v>
                </c:pt>
                <c:pt idx="35">
                  <c:v>407.49159629945984</c:v>
                </c:pt>
                <c:pt idx="36">
                  <c:v>432.5458429151448</c:v>
                </c:pt>
                <c:pt idx="37">
                  <c:v>455.4927696635033</c:v>
                </c:pt>
                <c:pt idx="38">
                  <c:v>476.22058142403426</c:v>
                </c:pt>
                <c:pt idx="39">
                  <c:v>494.62829438139283</c:v>
                </c:pt>
                <c:pt idx="40">
                  <c:v>510.6262280083875</c:v>
                </c:pt>
                <c:pt idx="41">
                  <c:v>524.1364419804943</c:v>
                </c:pt>
                <c:pt idx="42">
                  <c:v>535.0931158932827</c:v>
                </c:pt>
                <c:pt idx="43">
                  <c:v>543.4428699328114</c:v>
                </c:pt>
                <c:pt idx="44">
                  <c:v>549.1450249367135</c:v>
                </c:pt>
                <c:pt idx="45">
                  <c:v>552.1718005789888</c:v>
                </c:pt>
                <c:pt idx="46">
                  <c:v>552.5084507129586</c:v>
                </c:pt>
                <c:pt idx="47">
                  <c:v>550.1533352130102</c:v>
                </c:pt>
                <c:pt idx="48">
                  <c:v>545.1179279651238</c:v>
                </c:pt>
                <c:pt idx="49">
                  <c:v>537.4267609672538</c:v>
                </c:pt>
                <c:pt idx="50">
                  <c:v>527.1173048119005</c:v>
                </c:pt>
                <c:pt idx="51">
                  <c:v>514.23978613315</c:v>
                </c:pt>
                <c:pt idx="52">
                  <c:v>498.85694290756106</c:v>
                </c:pt>
                <c:pt idx="53">
                  <c:v>481.04371880105117</c:v>
                </c:pt>
                <c:pt idx="54">
                  <c:v>460.886898050888</c:v>
                </c:pt>
                <c:pt idx="55">
                  <c:v>438.4846826616099</c:v>
                </c:pt>
                <c:pt idx="56">
                  <c:v>413.9462139747306</c:v>
                </c:pt>
                <c:pt idx="57">
                  <c:v>387.39104094309437</c:v>
                </c:pt>
                <c:pt idx="58">
                  <c:v>358.9485377003946</c:v>
                </c:pt>
                <c:pt idx="59">
                  <c:v>328.75727326339927</c:v>
                </c:pt>
                <c:pt idx="60">
                  <c:v>296.9643364376308</c:v>
                </c:pt>
                <c:pt idx="61">
                  <c:v>263.72461921548836</c:v>
                </c:pt>
                <c:pt idx="62">
                  <c:v>229.20006215803411</c:v>
                </c:pt>
                <c:pt idx="63">
                  <c:v>193.55886543685563</c:v>
                </c:pt>
                <c:pt idx="64">
                  <c:v>156.97466937973786</c:v>
                </c:pt>
                <c:pt idx="65">
                  <c:v>119.62570851244062</c:v>
                </c:pt>
                <c:pt idx="66">
                  <c:v>81.69394321800495</c:v>
                </c:pt>
                <c:pt idx="67">
                  <c:v>43.364173244057596</c:v>
                </c:pt>
                <c:pt idx="68">
                  <c:v>4.823137377016649</c:v>
                </c:pt>
                <c:pt idx="69">
                  <c:v>-33.74139633050456</c:v>
                </c:pt>
                <c:pt idx="70">
                  <c:v>-72.14154534677733</c:v>
                </c:pt>
                <c:pt idx="71">
                  <c:v>-110.1902280057634</c:v>
                </c:pt>
                <c:pt idx="72">
                  <c:v>-147.70207495018883</c:v>
                </c:pt>
                <c:pt idx="73">
                  <c:v>-184.49433223241667</c:v>
                </c:pt>
                <c:pt idx="74">
                  <c:v>-220.38775167331357</c:v>
                </c:pt>
                <c:pt idx="75">
                  <c:v>-255.20746414135837</c:v>
                </c:pt>
                <c:pt idx="76">
                  <c:v>-288.7838314974702</c:v>
                </c:pt>
                <c:pt idx="77">
                  <c:v>-320.9532730549763</c:v>
                </c:pt>
                <c:pt idx="78">
                  <c:v>-351.5590625282681</c:v>
                </c:pt>
                <c:pt idx="79">
                  <c:v>-380.45209158751624</c:v>
                </c:pt>
                <c:pt idx="80">
                  <c:v>-407.4915962994598</c:v>
                </c:pt>
                <c:pt idx="81">
                  <c:v>-432.5458429151451</c:v>
                </c:pt>
                <c:pt idx="82">
                  <c:v>-455.4927696635033</c:v>
                </c:pt>
                <c:pt idx="83">
                  <c:v>-476.22058142403404</c:v>
                </c:pt>
                <c:pt idx="84">
                  <c:v>-494.62829438139283</c:v>
                </c:pt>
                <c:pt idx="85">
                  <c:v>-510.6262280083873</c:v>
                </c:pt>
                <c:pt idx="86">
                  <c:v>-524.1364419804943</c:v>
                </c:pt>
                <c:pt idx="87">
                  <c:v>-535.0931158932827</c:v>
                </c:pt>
                <c:pt idx="88">
                  <c:v>-543.4428699328114</c:v>
                </c:pt>
                <c:pt idx="89">
                  <c:v>-549.1450249367135</c:v>
                </c:pt>
                <c:pt idx="90">
                  <c:v>-552.1718005789888</c:v>
                </c:pt>
                <c:pt idx="91">
                  <c:v>-552.5084507129586</c:v>
                </c:pt>
                <c:pt idx="92">
                  <c:v>-550.1533352130102</c:v>
                </c:pt>
                <c:pt idx="93">
                  <c:v>-545.1179279651238</c:v>
                </c:pt>
                <c:pt idx="94">
                  <c:v>-537.4267609672539</c:v>
                </c:pt>
                <c:pt idx="95">
                  <c:v>-527.1173048119005</c:v>
                </c:pt>
                <c:pt idx="96">
                  <c:v>-514.23978613315</c:v>
                </c:pt>
                <c:pt idx="97">
                  <c:v>-498.8569429075609</c:v>
                </c:pt>
                <c:pt idx="98">
                  <c:v>-481.0437188010512</c:v>
                </c:pt>
                <c:pt idx="99">
                  <c:v>-460.8868980508878</c:v>
                </c:pt>
                <c:pt idx="100">
                  <c:v>-438.4846826616099</c:v>
                </c:pt>
                <c:pt idx="101">
                  <c:v>-413.946213974731</c:v>
                </c:pt>
                <c:pt idx="102">
                  <c:v>-387.39104094309437</c:v>
                </c:pt>
                <c:pt idx="103">
                  <c:v>-358.948537700395</c:v>
                </c:pt>
                <c:pt idx="104">
                  <c:v>-328.7572732633993</c:v>
                </c:pt>
                <c:pt idx="105">
                  <c:v>-296.9643364376308</c:v>
                </c:pt>
                <c:pt idx="106">
                  <c:v>-263.72461921548796</c:v>
                </c:pt>
                <c:pt idx="107">
                  <c:v>-229.20006215803417</c:v>
                </c:pt>
                <c:pt idx="108">
                  <c:v>-193.55886543685523</c:v>
                </c:pt>
                <c:pt idx="109">
                  <c:v>-156.97466937973792</c:v>
                </c:pt>
                <c:pt idx="110">
                  <c:v>-119.62570851244116</c:v>
                </c:pt>
                <c:pt idx="111">
                  <c:v>-81.693943218005</c:v>
                </c:pt>
                <c:pt idx="112">
                  <c:v>-43.36417324405815</c:v>
                </c:pt>
                <c:pt idx="113">
                  <c:v>-4.823137377016716</c:v>
                </c:pt>
                <c:pt idx="114">
                  <c:v>33.741396330504486</c:v>
                </c:pt>
                <c:pt idx="115">
                  <c:v>72.14154534677776</c:v>
                </c:pt>
                <c:pt idx="116">
                  <c:v>110.19022800576333</c:v>
                </c:pt>
                <c:pt idx="117">
                  <c:v>147.70207495018875</c:v>
                </c:pt>
                <c:pt idx="118">
                  <c:v>184.49433223241658</c:v>
                </c:pt>
                <c:pt idx="119">
                  <c:v>220.38775167331445</c:v>
                </c:pt>
                <c:pt idx="120">
                  <c:v>255.20746414135832</c:v>
                </c:pt>
                <c:pt idx="121">
                  <c:v>288.78383149747015</c:v>
                </c:pt>
                <c:pt idx="122">
                  <c:v>320.9532730549763</c:v>
                </c:pt>
                <c:pt idx="123">
                  <c:v>351.55906252826804</c:v>
                </c:pt>
                <c:pt idx="124">
                  <c:v>380.4520915875162</c:v>
                </c:pt>
                <c:pt idx="125">
                  <c:v>407.4915962994598</c:v>
                </c:pt>
                <c:pt idx="126">
                  <c:v>432.5458429151451</c:v>
                </c:pt>
                <c:pt idx="127">
                  <c:v>455.4927696635032</c:v>
                </c:pt>
                <c:pt idx="128">
                  <c:v>476.22058142403444</c:v>
                </c:pt>
                <c:pt idx="129">
                  <c:v>494.6282943813928</c:v>
                </c:pt>
                <c:pt idx="130">
                  <c:v>510.6262280083873</c:v>
                </c:pt>
                <c:pt idx="131">
                  <c:v>524.1364419804942</c:v>
                </c:pt>
                <c:pt idx="132">
                  <c:v>535.0931158932827</c:v>
                </c:pt>
                <c:pt idx="133">
                  <c:v>543.4428699328114</c:v>
                </c:pt>
                <c:pt idx="134">
                  <c:v>549.1450249367135</c:v>
                </c:pt>
                <c:pt idx="135">
                  <c:v>552.1718005789888</c:v>
                </c:pt>
                <c:pt idx="136">
                  <c:v>552.5084507129586</c:v>
                </c:pt>
                <c:pt idx="137">
                  <c:v>550.1533352130102</c:v>
                </c:pt>
                <c:pt idx="138">
                  <c:v>545.1179279651238</c:v>
                </c:pt>
                <c:pt idx="139">
                  <c:v>537.4267609672539</c:v>
                </c:pt>
                <c:pt idx="140">
                  <c:v>527.1173048119006</c:v>
                </c:pt>
                <c:pt idx="141">
                  <c:v>514.23978613315</c:v>
                </c:pt>
                <c:pt idx="142">
                  <c:v>498.85694290756095</c:v>
                </c:pt>
                <c:pt idx="143">
                  <c:v>481.0437188010512</c:v>
                </c:pt>
                <c:pt idx="144">
                  <c:v>460.88689805088785</c:v>
                </c:pt>
                <c:pt idx="145">
                  <c:v>438.48468266160995</c:v>
                </c:pt>
                <c:pt idx="146">
                  <c:v>413.94621397473037</c:v>
                </c:pt>
                <c:pt idx="147">
                  <c:v>387.3910409430944</c:v>
                </c:pt>
                <c:pt idx="148">
                  <c:v>358.9485377003951</c:v>
                </c:pt>
                <c:pt idx="149">
                  <c:v>328.75727326339944</c:v>
                </c:pt>
                <c:pt idx="150">
                  <c:v>296.96433643763083</c:v>
                </c:pt>
                <c:pt idx="151">
                  <c:v>263.724619215488</c:v>
                </c:pt>
                <c:pt idx="152">
                  <c:v>229.20006215803423</c:v>
                </c:pt>
                <c:pt idx="153">
                  <c:v>193.55886543685529</c:v>
                </c:pt>
                <c:pt idx="154">
                  <c:v>156.97466937973797</c:v>
                </c:pt>
                <c:pt idx="155">
                  <c:v>119.62570851244027</c:v>
                </c:pt>
                <c:pt idx="156">
                  <c:v>81.69394321800507</c:v>
                </c:pt>
                <c:pt idx="157">
                  <c:v>43.364173244058215</c:v>
                </c:pt>
                <c:pt idx="158">
                  <c:v>4.823137377016784</c:v>
                </c:pt>
                <c:pt idx="159">
                  <c:v>-33.74139633050442</c:v>
                </c:pt>
                <c:pt idx="160">
                  <c:v>-72.14154534677769</c:v>
                </c:pt>
                <c:pt idx="161">
                  <c:v>-110.19022800576326</c:v>
                </c:pt>
                <c:pt idx="162">
                  <c:v>-147.7020749501887</c:v>
                </c:pt>
                <c:pt idx="163">
                  <c:v>-184.49433223241653</c:v>
                </c:pt>
                <c:pt idx="164">
                  <c:v>-220.3877516733144</c:v>
                </c:pt>
                <c:pt idx="165">
                  <c:v>-255.20746414135826</c:v>
                </c:pt>
                <c:pt idx="166">
                  <c:v>-288.7838314974701</c:v>
                </c:pt>
                <c:pt idx="167">
                  <c:v>-320.95327305497625</c:v>
                </c:pt>
                <c:pt idx="168">
                  <c:v>-351.559062528268</c:v>
                </c:pt>
                <c:pt idx="169">
                  <c:v>-380.4520915875162</c:v>
                </c:pt>
                <c:pt idx="170">
                  <c:v>-407.49159629945973</c:v>
                </c:pt>
                <c:pt idx="171">
                  <c:v>-432.54584291514504</c:v>
                </c:pt>
                <c:pt idx="172">
                  <c:v>-455.49276966350317</c:v>
                </c:pt>
                <c:pt idx="173">
                  <c:v>-476.22058142403444</c:v>
                </c:pt>
                <c:pt idx="174">
                  <c:v>-494.6282943813928</c:v>
                </c:pt>
                <c:pt idx="175">
                  <c:v>-510.6262280083873</c:v>
                </c:pt>
                <c:pt idx="176">
                  <c:v>-524.1364419804942</c:v>
                </c:pt>
                <c:pt idx="177">
                  <c:v>-535.0931158932827</c:v>
                </c:pt>
                <c:pt idx="178">
                  <c:v>-543.4428699328114</c:v>
                </c:pt>
                <c:pt idx="179">
                  <c:v>-549.1450249367135</c:v>
                </c:pt>
                <c:pt idx="180">
                  <c:v>-552.1718005789888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9760"/>
        <c:axId val="336041442"/>
      </c:scatterChart>
      <c:valAx>
        <c:axId val="33604144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Force en 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1339760"/>
        <c:crosses val="autoZero"/>
        <c:crossBetween val="midCat"/>
      </c:valAx>
      <c:valAx>
        <c:axId val="421339760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336041442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1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Force totale des masses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Ftot_Xglo</c:v>
          </c:tx>
          <c:spPr>
            <a:ln xmlns:a="http://schemas.openxmlformats.org/drawingml/2006/main" w="9525">
              <a:solidFill>
                <a:schemeClr val="accent1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Feuil1!$BD$32:$BD$212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yVal>
        </c:ser>
        <c:ser>
          <c:idx val="1"/>
          <c:order val="1"/>
          <c:tx>
            <c:v>Ftot_Yglo</c:v>
          </c:tx>
          <c:spPr>
            <a:ln xmlns:a="http://schemas.openxmlformats.org/drawingml/2006/main" w="12700">
              <a:solidFill>
                <a:schemeClr val="accent2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chemeClr val="accent2"/>
              </a:solidFill>
              <a:ln xmlns:a="http://schemas.openxmlformats.org/drawingml/2006/main" cmpd="sng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Feuil1!$BE$32:$BE$212</c:f>
              <c:numCache>
                <c:formatCode>General</c:formatCode>
                <c:ptCount val="181"/>
                <c:pt idx="0">
                  <c:v>-1104.3436011579777</c:v>
                </c:pt>
                <c:pt idx="1">
                  <c:v>-1105.0169014259172</c:v>
                </c:pt>
                <c:pt idx="2">
                  <c:v>-1100.3066704260204</c:v>
                </c:pt>
                <c:pt idx="3">
                  <c:v>-1090.2358559302477</c:v>
                </c:pt>
                <c:pt idx="4">
                  <c:v>-1074.8535219345079</c:v>
                </c:pt>
                <c:pt idx="5">
                  <c:v>-1054.2346096238011</c:v>
                </c:pt>
                <c:pt idx="6">
                  <c:v>-1028.4795722662996</c:v>
                </c:pt>
                <c:pt idx="7">
                  <c:v>-997.7138858151219</c:v>
                </c:pt>
                <c:pt idx="8">
                  <c:v>-962.0874376021023</c:v>
                </c:pt>
                <c:pt idx="9">
                  <c:v>-921.7737961017759</c:v>
                </c:pt>
                <c:pt idx="10">
                  <c:v>-876.9693653232197</c:v>
                </c:pt>
                <c:pt idx="11">
                  <c:v>-827.8924279494611</c:v>
                </c:pt>
                <c:pt idx="12">
                  <c:v>-774.782081886189</c:v>
                </c:pt>
                <c:pt idx="13">
                  <c:v>-717.897075400789</c:v>
                </c:pt>
                <c:pt idx="14">
                  <c:v>-657.5145465267993</c:v>
                </c:pt>
                <c:pt idx="15">
                  <c:v>-593.9286728752614</c:v>
                </c:pt>
                <c:pt idx="16">
                  <c:v>-527.4492384309766</c:v>
                </c:pt>
                <c:pt idx="17">
                  <c:v>-458.4001243160681</c:v>
                </c:pt>
                <c:pt idx="18">
                  <c:v>-387.11773087371114</c:v>
                </c:pt>
                <c:pt idx="19">
                  <c:v>-313.9493387594756</c:v>
                </c:pt>
                <c:pt idx="20">
                  <c:v>-239.25141702488114</c:v>
                </c:pt>
                <c:pt idx="21">
                  <c:v>-163.38788643600975</c:v>
                </c:pt>
                <c:pt idx="22">
                  <c:v>-86.72834648811505</c:v>
                </c:pt>
                <c:pt idx="23">
                  <c:v>-9.646274754033161</c:v>
                </c:pt>
                <c:pt idx="24">
                  <c:v>67.48279266100926</c:v>
                </c:pt>
                <c:pt idx="25">
                  <c:v>144.2830906935548</c:v>
                </c:pt>
                <c:pt idx="26">
                  <c:v>220.38045601152692</c:v>
                </c:pt>
                <c:pt idx="27">
                  <c:v>295.40414990037686</c:v>
                </c:pt>
                <c:pt idx="28">
                  <c:v>368.98866446483345</c:v>
                </c:pt>
                <c:pt idx="29">
                  <c:v>440.7755033466282</c:v>
                </c:pt>
                <c:pt idx="30">
                  <c:v>510.4149282827169</c:v>
                </c:pt>
                <c:pt idx="31">
                  <c:v>577.5676629949412</c:v>
                </c:pt>
                <c:pt idx="32">
                  <c:v>641.9065461099528</c:v>
                </c:pt>
                <c:pt idx="33">
                  <c:v>703.1181250565363</c:v>
                </c:pt>
                <c:pt idx="34">
                  <c:v>760.9041831750319</c:v>
                </c:pt>
                <c:pt idx="35">
                  <c:v>814.9831925989197</c:v>
                </c:pt>
                <c:pt idx="36">
                  <c:v>865.0916858302896</c:v>
                </c:pt>
                <c:pt idx="37">
                  <c:v>910.9855393270066</c:v>
                </c:pt>
                <c:pt idx="38">
                  <c:v>952.4411628480685</c:v>
                </c:pt>
                <c:pt idx="39">
                  <c:v>989.2565887627857</c:v>
                </c:pt>
                <c:pt idx="40">
                  <c:v>1021.252456016775</c:v>
                </c:pt>
                <c:pt idx="41">
                  <c:v>1048.2728839609886</c:v>
                </c:pt>
                <c:pt idx="42">
                  <c:v>1070.1862317865655</c:v>
                </c:pt>
                <c:pt idx="43">
                  <c:v>1086.8857398656228</c:v>
                </c:pt>
                <c:pt idx="44">
                  <c:v>1098.290049873427</c:v>
                </c:pt>
                <c:pt idx="45">
                  <c:v>1104.3436011579777</c:v>
                </c:pt>
                <c:pt idx="46">
                  <c:v>1105.0169014259172</c:v>
                </c:pt>
                <c:pt idx="47">
                  <c:v>1100.3066704260204</c:v>
                </c:pt>
                <c:pt idx="48">
                  <c:v>1090.2358559302477</c:v>
                </c:pt>
                <c:pt idx="49">
                  <c:v>1074.8535219345076</c:v>
                </c:pt>
                <c:pt idx="50">
                  <c:v>1054.234609623801</c:v>
                </c:pt>
                <c:pt idx="51">
                  <c:v>1028.4795722663</c:v>
                </c:pt>
                <c:pt idx="52">
                  <c:v>997.7138858151221</c:v>
                </c:pt>
                <c:pt idx="53">
                  <c:v>962.0874376021023</c:v>
                </c:pt>
                <c:pt idx="54">
                  <c:v>921.773796101776</c:v>
                </c:pt>
                <c:pt idx="55">
                  <c:v>876.9693653232198</c:v>
                </c:pt>
                <c:pt idx="56">
                  <c:v>827.8924279494612</c:v>
                </c:pt>
                <c:pt idx="57">
                  <c:v>774.7820818861887</c:v>
                </c:pt>
                <c:pt idx="58">
                  <c:v>717.8970754007892</c:v>
                </c:pt>
                <c:pt idx="59">
                  <c:v>657.5145465267985</c:v>
                </c:pt>
                <c:pt idx="60">
                  <c:v>593.9286728752616</c:v>
                </c:pt>
                <c:pt idx="61">
                  <c:v>527.4492384309767</c:v>
                </c:pt>
                <c:pt idx="62">
                  <c:v>458.40012431606823</c:v>
                </c:pt>
                <c:pt idx="63">
                  <c:v>387.11773087371125</c:v>
                </c:pt>
                <c:pt idx="64">
                  <c:v>313.9493387594757</c:v>
                </c:pt>
                <c:pt idx="65">
                  <c:v>239.25141702488125</c:v>
                </c:pt>
                <c:pt idx="66">
                  <c:v>163.3878864360099</c:v>
                </c:pt>
                <c:pt idx="67">
                  <c:v>86.72834648811519</c:v>
                </c:pt>
                <c:pt idx="68">
                  <c:v>9.646274754033298</c:v>
                </c:pt>
                <c:pt idx="69">
                  <c:v>-67.48279266100911</c:v>
                </c:pt>
                <c:pt idx="70">
                  <c:v>-144.28309069355467</c:v>
                </c:pt>
                <c:pt idx="71">
                  <c:v>-220.3804560115268</c:v>
                </c:pt>
                <c:pt idx="72">
                  <c:v>-295.40414990037766</c:v>
                </c:pt>
                <c:pt idx="73">
                  <c:v>-368.98866446483333</c:v>
                </c:pt>
                <c:pt idx="74">
                  <c:v>-440.77550334662715</c:v>
                </c:pt>
                <c:pt idx="75">
                  <c:v>-510.41492828271674</c:v>
                </c:pt>
                <c:pt idx="76">
                  <c:v>-577.5676629949404</c:v>
                </c:pt>
                <c:pt idx="77">
                  <c:v>-641.9065461099526</c:v>
                </c:pt>
                <c:pt idx="78">
                  <c:v>-703.1181250565362</c:v>
                </c:pt>
                <c:pt idx="79">
                  <c:v>-760.9041831750325</c:v>
                </c:pt>
                <c:pt idx="80">
                  <c:v>-814.9831925989196</c:v>
                </c:pt>
                <c:pt idx="81">
                  <c:v>-865.0916858302902</c:v>
                </c:pt>
                <c:pt idx="82">
                  <c:v>-910.9855393270066</c:v>
                </c:pt>
                <c:pt idx="83">
                  <c:v>-952.4411628480681</c:v>
                </c:pt>
                <c:pt idx="84">
                  <c:v>-989.2565887627857</c:v>
                </c:pt>
                <c:pt idx="85">
                  <c:v>-1021.2524560167745</c:v>
                </c:pt>
                <c:pt idx="86">
                  <c:v>-1048.2728839609886</c:v>
                </c:pt>
                <c:pt idx="87">
                  <c:v>-1070.1862317865655</c:v>
                </c:pt>
                <c:pt idx="88">
                  <c:v>-1086.8857398656228</c:v>
                </c:pt>
                <c:pt idx="89">
                  <c:v>-1098.290049873427</c:v>
                </c:pt>
                <c:pt idx="90">
                  <c:v>-1104.3436011579777</c:v>
                </c:pt>
                <c:pt idx="91">
                  <c:v>-1105.0169014259172</c:v>
                </c:pt>
                <c:pt idx="92">
                  <c:v>-1100.3066704260204</c:v>
                </c:pt>
                <c:pt idx="93">
                  <c:v>-1090.2358559302477</c:v>
                </c:pt>
                <c:pt idx="94">
                  <c:v>-1074.8535219345079</c:v>
                </c:pt>
                <c:pt idx="95">
                  <c:v>-1054.234609623801</c:v>
                </c:pt>
                <c:pt idx="96">
                  <c:v>-1028.4795722663</c:v>
                </c:pt>
                <c:pt idx="97">
                  <c:v>-997.7138858151218</c:v>
                </c:pt>
                <c:pt idx="98">
                  <c:v>-962.0874376021025</c:v>
                </c:pt>
                <c:pt idx="99">
                  <c:v>-921.7737961017756</c:v>
                </c:pt>
                <c:pt idx="100">
                  <c:v>-876.9693653232198</c:v>
                </c:pt>
                <c:pt idx="101">
                  <c:v>-827.892427949462</c:v>
                </c:pt>
                <c:pt idx="102">
                  <c:v>-774.7820818861887</c:v>
                </c:pt>
                <c:pt idx="103">
                  <c:v>-717.89707540079</c:v>
                </c:pt>
                <c:pt idx="104">
                  <c:v>-657.5145465267987</c:v>
                </c:pt>
                <c:pt idx="105">
                  <c:v>-593.9286728752616</c:v>
                </c:pt>
                <c:pt idx="106">
                  <c:v>-527.4492384309759</c:v>
                </c:pt>
                <c:pt idx="107">
                  <c:v>-458.40012431606834</c:v>
                </c:pt>
                <c:pt idx="108">
                  <c:v>-387.11773087371046</c:v>
                </c:pt>
                <c:pt idx="109">
                  <c:v>-313.94933875947584</c:v>
                </c:pt>
                <c:pt idx="110">
                  <c:v>-239.25141702488233</c:v>
                </c:pt>
                <c:pt idx="111">
                  <c:v>-163.38788643601</c:v>
                </c:pt>
                <c:pt idx="112">
                  <c:v>-86.7283464881163</c:v>
                </c:pt>
                <c:pt idx="113">
                  <c:v>-9.646274754033431</c:v>
                </c:pt>
                <c:pt idx="114">
                  <c:v>67.48279266100897</c:v>
                </c:pt>
                <c:pt idx="115">
                  <c:v>144.28309069355552</c:v>
                </c:pt>
                <c:pt idx="116">
                  <c:v>220.38045601152666</c:v>
                </c:pt>
                <c:pt idx="117">
                  <c:v>295.4041499003775</c:v>
                </c:pt>
                <c:pt idx="118">
                  <c:v>368.98866446483316</c:v>
                </c:pt>
                <c:pt idx="119">
                  <c:v>440.7755033466289</c:v>
                </c:pt>
                <c:pt idx="120">
                  <c:v>510.41492828271663</c:v>
                </c:pt>
                <c:pt idx="121">
                  <c:v>577.5676629949403</c:v>
                </c:pt>
                <c:pt idx="122">
                  <c:v>641.9065461099526</c:v>
                </c:pt>
                <c:pt idx="123">
                  <c:v>703.1181250565361</c:v>
                </c:pt>
                <c:pt idx="124">
                  <c:v>760.9041831750324</c:v>
                </c:pt>
                <c:pt idx="125">
                  <c:v>814.9831925989196</c:v>
                </c:pt>
                <c:pt idx="126">
                  <c:v>865.0916858302902</c:v>
                </c:pt>
                <c:pt idx="127">
                  <c:v>910.9855393270064</c:v>
                </c:pt>
                <c:pt idx="128">
                  <c:v>952.4411628480689</c:v>
                </c:pt>
                <c:pt idx="129">
                  <c:v>989.2565887627856</c:v>
                </c:pt>
                <c:pt idx="130">
                  <c:v>1021.2524560167745</c:v>
                </c:pt>
                <c:pt idx="131">
                  <c:v>1048.2728839609883</c:v>
                </c:pt>
                <c:pt idx="132">
                  <c:v>1070.1862317865655</c:v>
                </c:pt>
                <c:pt idx="133">
                  <c:v>1086.8857398656228</c:v>
                </c:pt>
                <c:pt idx="134">
                  <c:v>1098.290049873427</c:v>
                </c:pt>
                <c:pt idx="135">
                  <c:v>1104.3436011579777</c:v>
                </c:pt>
                <c:pt idx="136">
                  <c:v>1105.0169014259172</c:v>
                </c:pt>
                <c:pt idx="137">
                  <c:v>1100.3066704260204</c:v>
                </c:pt>
                <c:pt idx="138">
                  <c:v>1090.2358559302477</c:v>
                </c:pt>
                <c:pt idx="139">
                  <c:v>1074.8535219345079</c:v>
                </c:pt>
                <c:pt idx="140">
                  <c:v>1054.2346096238011</c:v>
                </c:pt>
                <c:pt idx="141">
                  <c:v>1028.4795722663</c:v>
                </c:pt>
                <c:pt idx="142">
                  <c:v>997.7138858151219</c:v>
                </c:pt>
                <c:pt idx="143">
                  <c:v>962.0874376021025</c:v>
                </c:pt>
                <c:pt idx="144">
                  <c:v>921.7737961017757</c:v>
                </c:pt>
                <c:pt idx="145">
                  <c:v>876.9693653232199</c:v>
                </c:pt>
                <c:pt idx="146">
                  <c:v>827.8924279494607</c:v>
                </c:pt>
                <c:pt idx="147">
                  <c:v>774.7820818861888</c:v>
                </c:pt>
                <c:pt idx="148">
                  <c:v>717.8970754007902</c:v>
                </c:pt>
                <c:pt idx="149">
                  <c:v>657.5145465267989</c:v>
                </c:pt>
                <c:pt idx="150">
                  <c:v>593.9286728752617</c:v>
                </c:pt>
                <c:pt idx="151">
                  <c:v>527.449238430976</c:v>
                </c:pt>
                <c:pt idx="152">
                  <c:v>458.40012431606846</c:v>
                </c:pt>
                <c:pt idx="153">
                  <c:v>387.11773087371057</c:v>
                </c:pt>
                <c:pt idx="154">
                  <c:v>313.94933875947595</c:v>
                </c:pt>
                <c:pt idx="155">
                  <c:v>239.25141702488054</c:v>
                </c:pt>
                <c:pt idx="156">
                  <c:v>163.38788643601015</c:v>
                </c:pt>
                <c:pt idx="157">
                  <c:v>86.72834648811643</c:v>
                </c:pt>
                <c:pt idx="158">
                  <c:v>9.646274754033568</c:v>
                </c:pt>
                <c:pt idx="159">
                  <c:v>-67.48279266100884</c:v>
                </c:pt>
                <c:pt idx="160">
                  <c:v>-144.28309069355538</c:v>
                </c:pt>
                <c:pt idx="161">
                  <c:v>-220.38045601152652</c:v>
                </c:pt>
                <c:pt idx="162">
                  <c:v>-295.4041499003774</c:v>
                </c:pt>
                <c:pt idx="163">
                  <c:v>-368.98866446483305</c:v>
                </c:pt>
                <c:pt idx="164">
                  <c:v>-440.7755033466288</c:v>
                </c:pt>
                <c:pt idx="165">
                  <c:v>-510.4149282827165</c:v>
                </c:pt>
                <c:pt idx="166">
                  <c:v>-577.5676629949402</c:v>
                </c:pt>
                <c:pt idx="167">
                  <c:v>-641.9065461099525</c:v>
                </c:pt>
                <c:pt idx="168">
                  <c:v>-703.118125056536</c:v>
                </c:pt>
                <c:pt idx="169">
                  <c:v>-760.9041831750324</c:v>
                </c:pt>
                <c:pt idx="170">
                  <c:v>-814.9831925989195</c:v>
                </c:pt>
                <c:pt idx="171">
                  <c:v>-865.0916858302901</c:v>
                </c:pt>
                <c:pt idx="172">
                  <c:v>-910.9855393270063</c:v>
                </c:pt>
                <c:pt idx="173">
                  <c:v>-952.4411628480689</c:v>
                </c:pt>
                <c:pt idx="174">
                  <c:v>-989.2565887627856</c:v>
                </c:pt>
                <c:pt idx="175">
                  <c:v>-1021.2524560167745</c:v>
                </c:pt>
                <c:pt idx="176">
                  <c:v>-1048.2728839609883</c:v>
                </c:pt>
                <c:pt idx="177">
                  <c:v>-1070.1862317865655</c:v>
                </c:pt>
                <c:pt idx="178">
                  <c:v>-1086.8857398656228</c:v>
                </c:pt>
                <c:pt idx="179">
                  <c:v>-1098.290049873427</c:v>
                </c:pt>
                <c:pt idx="180">
                  <c:v>-1104.3436011579777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9760"/>
        <c:axId val="336041442"/>
      </c:scatterChart>
      <c:valAx>
        <c:axId val="33604144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Force en 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1339760"/>
        <c:crosses val="autoZero"/>
        <c:crossBetween val="midCat"/>
      </c:valAx>
      <c:valAx>
        <c:axId val="421339760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336041442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charts/chart1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Graphe équilibrage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 b="0" i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varyColors val="1"/>
        <c:ser>
          <c:idx val="0"/>
          <c:order val="0"/>
          <c:tx>
            <c:v>Ftot_Xglo</c:v>
          </c:tx>
          <c:spPr>
            <a:ln xmlns:a="http://schemas.openxmlformats.org/drawingml/2006/main" w="9525">
              <a:solidFill>
                <a:schemeClr val="accent1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chemeClr val="accent1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Feuil1!$BD$32:$BD$212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yVal>
        </c:ser>
        <c:ser>
          <c:idx val="1"/>
          <c:order val="1"/>
          <c:tx>
            <c:v>Ftot_Yglo</c:v>
          </c:tx>
          <c:spPr>
            <a:ln xmlns:a="http://schemas.openxmlformats.org/drawingml/2006/main" w="0" cmpd="thinThick"/>
          </c:spPr>
          <c:marker>
            <c:symbol val="circle"/>
            <c:size val="3"/>
            <c:spPr>
              <a:solidFill xmlns:a="http://schemas.openxmlformats.org/drawingml/2006/main">
                <a:schemeClr val="accent2"/>
              </a:solidFill>
              <a:ln xmlns:a="http://schemas.openxmlformats.org/drawingml/2006/main">
                <a:solidFill>
                  <a:schemeClr val="accent2"/>
                </a:solidFill>
              </a:ln>
            </c:spPr>
          </c:marke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Feuil1!$BE$32:$BE$212</c:f>
              <c:numCache>
                <c:formatCode>General</c:formatCode>
                <c:ptCount val="181"/>
                <c:pt idx="0">
                  <c:v>-1104.3436011579777</c:v>
                </c:pt>
                <c:pt idx="1">
                  <c:v>-1105.0169014259172</c:v>
                </c:pt>
                <c:pt idx="2">
                  <c:v>-1100.3066704260204</c:v>
                </c:pt>
                <c:pt idx="3">
                  <c:v>-1090.2358559302477</c:v>
                </c:pt>
                <c:pt idx="4">
                  <c:v>-1074.8535219345079</c:v>
                </c:pt>
                <c:pt idx="5">
                  <c:v>-1054.2346096238011</c:v>
                </c:pt>
                <c:pt idx="6">
                  <c:v>-1028.4795722662996</c:v>
                </c:pt>
                <c:pt idx="7">
                  <c:v>-997.7138858151219</c:v>
                </c:pt>
                <c:pt idx="8">
                  <c:v>-962.0874376021023</c:v>
                </c:pt>
                <c:pt idx="9">
                  <c:v>-921.7737961017759</c:v>
                </c:pt>
                <c:pt idx="10">
                  <c:v>-876.9693653232197</c:v>
                </c:pt>
                <c:pt idx="11">
                  <c:v>-827.8924279494611</c:v>
                </c:pt>
                <c:pt idx="12">
                  <c:v>-774.782081886189</c:v>
                </c:pt>
                <c:pt idx="13">
                  <c:v>-717.897075400789</c:v>
                </c:pt>
                <c:pt idx="14">
                  <c:v>-657.5145465267993</c:v>
                </c:pt>
                <c:pt idx="15">
                  <c:v>-593.9286728752614</c:v>
                </c:pt>
                <c:pt idx="16">
                  <c:v>-527.4492384309766</c:v>
                </c:pt>
                <c:pt idx="17">
                  <c:v>-458.4001243160681</c:v>
                </c:pt>
                <c:pt idx="18">
                  <c:v>-387.11773087371114</c:v>
                </c:pt>
                <c:pt idx="19">
                  <c:v>-313.9493387594756</c:v>
                </c:pt>
                <c:pt idx="20">
                  <c:v>-239.25141702488114</c:v>
                </c:pt>
                <c:pt idx="21">
                  <c:v>-163.38788643600975</c:v>
                </c:pt>
                <c:pt idx="22">
                  <c:v>-86.72834648811505</c:v>
                </c:pt>
                <c:pt idx="23">
                  <c:v>-9.646274754033161</c:v>
                </c:pt>
                <c:pt idx="24">
                  <c:v>67.48279266100926</c:v>
                </c:pt>
                <c:pt idx="25">
                  <c:v>144.2830906935548</c:v>
                </c:pt>
                <c:pt idx="26">
                  <c:v>220.38045601152692</c:v>
                </c:pt>
                <c:pt idx="27">
                  <c:v>295.40414990037686</c:v>
                </c:pt>
                <c:pt idx="28">
                  <c:v>368.98866446483345</c:v>
                </c:pt>
                <c:pt idx="29">
                  <c:v>440.7755033466282</c:v>
                </c:pt>
                <c:pt idx="30">
                  <c:v>510.4149282827169</c:v>
                </c:pt>
                <c:pt idx="31">
                  <c:v>577.5676629949412</c:v>
                </c:pt>
                <c:pt idx="32">
                  <c:v>641.9065461099528</c:v>
                </c:pt>
                <c:pt idx="33">
                  <c:v>703.1181250565363</c:v>
                </c:pt>
                <c:pt idx="34">
                  <c:v>760.9041831750319</c:v>
                </c:pt>
                <c:pt idx="35">
                  <c:v>814.9831925989197</c:v>
                </c:pt>
                <c:pt idx="36">
                  <c:v>865.0916858302896</c:v>
                </c:pt>
                <c:pt idx="37">
                  <c:v>910.9855393270066</c:v>
                </c:pt>
                <c:pt idx="38">
                  <c:v>952.4411628480685</c:v>
                </c:pt>
                <c:pt idx="39">
                  <c:v>989.2565887627857</c:v>
                </c:pt>
                <c:pt idx="40">
                  <c:v>1021.252456016775</c:v>
                </c:pt>
                <c:pt idx="41">
                  <c:v>1048.2728839609886</c:v>
                </c:pt>
                <c:pt idx="42">
                  <c:v>1070.1862317865655</c:v>
                </c:pt>
                <c:pt idx="43">
                  <c:v>1086.8857398656228</c:v>
                </c:pt>
                <c:pt idx="44">
                  <c:v>1098.290049873427</c:v>
                </c:pt>
                <c:pt idx="45">
                  <c:v>1104.3436011579777</c:v>
                </c:pt>
                <c:pt idx="46">
                  <c:v>1105.0169014259172</c:v>
                </c:pt>
                <c:pt idx="47">
                  <c:v>1100.3066704260204</c:v>
                </c:pt>
                <c:pt idx="48">
                  <c:v>1090.2358559302477</c:v>
                </c:pt>
                <c:pt idx="49">
                  <c:v>1074.8535219345076</c:v>
                </c:pt>
                <c:pt idx="50">
                  <c:v>1054.234609623801</c:v>
                </c:pt>
                <c:pt idx="51">
                  <c:v>1028.4795722663</c:v>
                </c:pt>
                <c:pt idx="52">
                  <c:v>997.7138858151221</c:v>
                </c:pt>
                <c:pt idx="53">
                  <c:v>962.0874376021023</c:v>
                </c:pt>
                <c:pt idx="54">
                  <c:v>921.773796101776</c:v>
                </c:pt>
                <c:pt idx="55">
                  <c:v>876.9693653232198</c:v>
                </c:pt>
                <c:pt idx="56">
                  <c:v>827.8924279494612</c:v>
                </c:pt>
                <c:pt idx="57">
                  <c:v>774.7820818861887</c:v>
                </c:pt>
                <c:pt idx="58">
                  <c:v>717.8970754007892</c:v>
                </c:pt>
                <c:pt idx="59">
                  <c:v>657.5145465267985</c:v>
                </c:pt>
                <c:pt idx="60">
                  <c:v>593.9286728752616</c:v>
                </c:pt>
                <c:pt idx="61">
                  <c:v>527.4492384309767</c:v>
                </c:pt>
                <c:pt idx="62">
                  <c:v>458.40012431606823</c:v>
                </c:pt>
                <c:pt idx="63">
                  <c:v>387.11773087371125</c:v>
                </c:pt>
                <c:pt idx="64">
                  <c:v>313.9493387594757</c:v>
                </c:pt>
                <c:pt idx="65">
                  <c:v>239.25141702488125</c:v>
                </c:pt>
                <c:pt idx="66">
                  <c:v>163.3878864360099</c:v>
                </c:pt>
                <c:pt idx="67">
                  <c:v>86.72834648811519</c:v>
                </c:pt>
                <c:pt idx="68">
                  <c:v>9.646274754033298</c:v>
                </c:pt>
                <c:pt idx="69">
                  <c:v>-67.48279266100911</c:v>
                </c:pt>
                <c:pt idx="70">
                  <c:v>-144.28309069355467</c:v>
                </c:pt>
                <c:pt idx="71">
                  <c:v>-220.3804560115268</c:v>
                </c:pt>
                <c:pt idx="72">
                  <c:v>-295.40414990037766</c:v>
                </c:pt>
                <c:pt idx="73">
                  <c:v>-368.98866446483333</c:v>
                </c:pt>
                <c:pt idx="74">
                  <c:v>-440.77550334662715</c:v>
                </c:pt>
                <c:pt idx="75">
                  <c:v>-510.41492828271674</c:v>
                </c:pt>
                <c:pt idx="76">
                  <c:v>-577.5676629949404</c:v>
                </c:pt>
                <c:pt idx="77">
                  <c:v>-641.9065461099526</c:v>
                </c:pt>
                <c:pt idx="78">
                  <c:v>-703.1181250565362</c:v>
                </c:pt>
                <c:pt idx="79">
                  <c:v>-760.9041831750325</c:v>
                </c:pt>
                <c:pt idx="80">
                  <c:v>-814.9831925989196</c:v>
                </c:pt>
                <c:pt idx="81">
                  <c:v>-865.0916858302902</c:v>
                </c:pt>
                <c:pt idx="82">
                  <c:v>-910.9855393270066</c:v>
                </c:pt>
                <c:pt idx="83">
                  <c:v>-952.4411628480681</c:v>
                </c:pt>
                <c:pt idx="84">
                  <c:v>-989.2565887627857</c:v>
                </c:pt>
                <c:pt idx="85">
                  <c:v>-1021.2524560167745</c:v>
                </c:pt>
                <c:pt idx="86">
                  <c:v>-1048.2728839609886</c:v>
                </c:pt>
                <c:pt idx="87">
                  <c:v>-1070.1862317865655</c:v>
                </c:pt>
                <c:pt idx="88">
                  <c:v>-1086.8857398656228</c:v>
                </c:pt>
                <c:pt idx="89">
                  <c:v>-1098.290049873427</c:v>
                </c:pt>
                <c:pt idx="90">
                  <c:v>-1104.3436011579777</c:v>
                </c:pt>
                <c:pt idx="91">
                  <c:v>-1105.0169014259172</c:v>
                </c:pt>
                <c:pt idx="92">
                  <c:v>-1100.3066704260204</c:v>
                </c:pt>
                <c:pt idx="93">
                  <c:v>-1090.2358559302477</c:v>
                </c:pt>
                <c:pt idx="94">
                  <c:v>-1074.8535219345079</c:v>
                </c:pt>
                <c:pt idx="95">
                  <c:v>-1054.234609623801</c:v>
                </c:pt>
                <c:pt idx="96">
                  <c:v>-1028.4795722663</c:v>
                </c:pt>
                <c:pt idx="97">
                  <c:v>-997.7138858151218</c:v>
                </c:pt>
                <c:pt idx="98">
                  <c:v>-962.0874376021025</c:v>
                </c:pt>
                <c:pt idx="99">
                  <c:v>-921.7737961017756</c:v>
                </c:pt>
                <c:pt idx="100">
                  <c:v>-876.9693653232198</c:v>
                </c:pt>
                <c:pt idx="101">
                  <c:v>-827.892427949462</c:v>
                </c:pt>
                <c:pt idx="102">
                  <c:v>-774.7820818861887</c:v>
                </c:pt>
                <c:pt idx="103">
                  <c:v>-717.89707540079</c:v>
                </c:pt>
                <c:pt idx="104">
                  <c:v>-657.5145465267987</c:v>
                </c:pt>
                <c:pt idx="105">
                  <c:v>-593.9286728752616</c:v>
                </c:pt>
                <c:pt idx="106">
                  <c:v>-527.4492384309759</c:v>
                </c:pt>
                <c:pt idx="107">
                  <c:v>-458.40012431606834</c:v>
                </c:pt>
                <c:pt idx="108">
                  <c:v>-387.11773087371046</c:v>
                </c:pt>
                <c:pt idx="109">
                  <c:v>-313.94933875947584</c:v>
                </c:pt>
                <c:pt idx="110">
                  <c:v>-239.25141702488233</c:v>
                </c:pt>
                <c:pt idx="111">
                  <c:v>-163.38788643601</c:v>
                </c:pt>
                <c:pt idx="112">
                  <c:v>-86.7283464881163</c:v>
                </c:pt>
                <c:pt idx="113">
                  <c:v>-9.646274754033431</c:v>
                </c:pt>
                <c:pt idx="114">
                  <c:v>67.48279266100897</c:v>
                </c:pt>
                <c:pt idx="115">
                  <c:v>144.28309069355552</c:v>
                </c:pt>
                <c:pt idx="116">
                  <c:v>220.38045601152666</c:v>
                </c:pt>
                <c:pt idx="117">
                  <c:v>295.4041499003775</c:v>
                </c:pt>
                <c:pt idx="118">
                  <c:v>368.98866446483316</c:v>
                </c:pt>
                <c:pt idx="119">
                  <c:v>440.7755033466289</c:v>
                </c:pt>
                <c:pt idx="120">
                  <c:v>510.41492828271663</c:v>
                </c:pt>
                <c:pt idx="121">
                  <c:v>577.5676629949403</c:v>
                </c:pt>
                <c:pt idx="122">
                  <c:v>641.9065461099526</c:v>
                </c:pt>
                <c:pt idx="123">
                  <c:v>703.1181250565361</c:v>
                </c:pt>
                <c:pt idx="124">
                  <c:v>760.9041831750324</c:v>
                </c:pt>
                <c:pt idx="125">
                  <c:v>814.9831925989196</c:v>
                </c:pt>
                <c:pt idx="126">
                  <c:v>865.0916858302902</c:v>
                </c:pt>
                <c:pt idx="127">
                  <c:v>910.9855393270064</c:v>
                </c:pt>
                <c:pt idx="128">
                  <c:v>952.4411628480689</c:v>
                </c:pt>
                <c:pt idx="129">
                  <c:v>989.2565887627856</c:v>
                </c:pt>
                <c:pt idx="130">
                  <c:v>1021.2524560167745</c:v>
                </c:pt>
                <c:pt idx="131">
                  <c:v>1048.2728839609883</c:v>
                </c:pt>
                <c:pt idx="132">
                  <c:v>1070.1862317865655</c:v>
                </c:pt>
                <c:pt idx="133">
                  <c:v>1086.8857398656228</c:v>
                </c:pt>
                <c:pt idx="134">
                  <c:v>1098.290049873427</c:v>
                </c:pt>
                <c:pt idx="135">
                  <c:v>1104.3436011579777</c:v>
                </c:pt>
                <c:pt idx="136">
                  <c:v>1105.0169014259172</c:v>
                </c:pt>
                <c:pt idx="137">
                  <c:v>1100.3066704260204</c:v>
                </c:pt>
                <c:pt idx="138">
                  <c:v>1090.2358559302477</c:v>
                </c:pt>
                <c:pt idx="139">
                  <c:v>1074.8535219345079</c:v>
                </c:pt>
                <c:pt idx="140">
                  <c:v>1054.2346096238011</c:v>
                </c:pt>
                <c:pt idx="141">
                  <c:v>1028.4795722663</c:v>
                </c:pt>
                <c:pt idx="142">
                  <c:v>997.7138858151219</c:v>
                </c:pt>
                <c:pt idx="143">
                  <c:v>962.0874376021025</c:v>
                </c:pt>
                <c:pt idx="144">
                  <c:v>921.7737961017757</c:v>
                </c:pt>
                <c:pt idx="145">
                  <c:v>876.9693653232199</c:v>
                </c:pt>
                <c:pt idx="146">
                  <c:v>827.8924279494607</c:v>
                </c:pt>
                <c:pt idx="147">
                  <c:v>774.7820818861888</c:v>
                </c:pt>
                <c:pt idx="148">
                  <c:v>717.8970754007902</c:v>
                </c:pt>
                <c:pt idx="149">
                  <c:v>657.5145465267989</c:v>
                </c:pt>
                <c:pt idx="150">
                  <c:v>593.9286728752617</c:v>
                </c:pt>
                <c:pt idx="151">
                  <c:v>527.449238430976</c:v>
                </c:pt>
                <c:pt idx="152">
                  <c:v>458.40012431606846</c:v>
                </c:pt>
                <c:pt idx="153">
                  <c:v>387.11773087371057</c:v>
                </c:pt>
                <c:pt idx="154">
                  <c:v>313.94933875947595</c:v>
                </c:pt>
                <c:pt idx="155">
                  <c:v>239.25141702488054</c:v>
                </c:pt>
                <c:pt idx="156">
                  <c:v>163.38788643601015</c:v>
                </c:pt>
                <c:pt idx="157">
                  <c:v>86.72834648811643</c:v>
                </c:pt>
                <c:pt idx="158">
                  <c:v>9.646274754033568</c:v>
                </c:pt>
                <c:pt idx="159">
                  <c:v>-67.48279266100884</c:v>
                </c:pt>
                <c:pt idx="160">
                  <c:v>-144.28309069355538</c:v>
                </c:pt>
                <c:pt idx="161">
                  <c:v>-220.38045601152652</c:v>
                </c:pt>
                <c:pt idx="162">
                  <c:v>-295.4041499003774</c:v>
                </c:pt>
                <c:pt idx="163">
                  <c:v>-368.98866446483305</c:v>
                </c:pt>
                <c:pt idx="164">
                  <c:v>-440.7755033466288</c:v>
                </c:pt>
                <c:pt idx="165">
                  <c:v>-510.4149282827165</c:v>
                </c:pt>
                <c:pt idx="166">
                  <c:v>-577.5676629949402</c:v>
                </c:pt>
                <c:pt idx="167">
                  <c:v>-641.9065461099525</c:v>
                </c:pt>
                <c:pt idx="168">
                  <c:v>-703.118125056536</c:v>
                </c:pt>
                <c:pt idx="169">
                  <c:v>-760.9041831750324</c:v>
                </c:pt>
                <c:pt idx="170">
                  <c:v>-814.9831925989195</c:v>
                </c:pt>
                <c:pt idx="171">
                  <c:v>-865.0916858302901</c:v>
                </c:pt>
                <c:pt idx="172">
                  <c:v>-910.9855393270063</c:v>
                </c:pt>
                <c:pt idx="173">
                  <c:v>-952.4411628480689</c:v>
                </c:pt>
                <c:pt idx="174">
                  <c:v>-989.2565887627856</c:v>
                </c:pt>
                <c:pt idx="175">
                  <c:v>-1021.2524560167745</c:v>
                </c:pt>
                <c:pt idx="176">
                  <c:v>-1048.2728839609883</c:v>
                </c:pt>
                <c:pt idx="177">
                  <c:v>-1070.1862317865655</c:v>
                </c:pt>
                <c:pt idx="178">
                  <c:v>-1086.8857398656228</c:v>
                </c:pt>
                <c:pt idx="179">
                  <c:v>-1098.290049873427</c:v>
                </c:pt>
                <c:pt idx="180">
                  <c:v>-1104.3436011579777</c:v>
                </c:pt>
              </c:numCache>
            </c:numRef>
          </c:yVal>
        </c:ser>
        <c:ser>
          <c:idx val="2"/>
          <c:order val="2"/>
          <c:tx>
            <c:v>Tamis</c:v>
          </c:tx>
          <c:spPr>
            <a:ln xmlns:a="http://schemas.openxmlformats.org/drawingml/2006/main" w="0">
              <a:solidFill>
                <a:schemeClr val="accent3"/>
              </a:solidFill>
            </a:ln>
          </c:spP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Feuil1!$AE$32:$AE$212</c:f>
              <c:numCache>
                <c:formatCode>0.000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-6.252776074688882E-13</c:v>
                </c:pt>
                <c:pt idx="34">
                  <c:v>0</c:v>
                </c:pt>
                <c:pt idx="35">
                  <c:v>6.252776074688882E-13</c:v>
                </c:pt>
                <c:pt idx="36">
                  <c:v>-2.8421709430404007E-13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1.1368683772161603E-13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yVal>
        </c:ser>
        <c:ser>
          <c:idx val="3"/>
          <c:order val="3"/>
          <c:tx>
            <c:v>Pilon</c:v>
          </c:tx>
          <c:spPr>
            <a:ln xmlns:a="http://schemas.openxmlformats.org/drawingml/2006/main" w="3175">
              <a:solidFill>
                <a:srgbClr val="FFFF00"/>
              </a:solidFill>
            </a:ln>
          </c:spPr>
          <c:xVal>
            <c:numRef>
              <c:f>Feuil1!$A$32:$A$212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xVal>
          <c:yVal>
            <c:numRef>
              <c:f>Feuil1!$AF$32:$AF$212</c:f>
              <c:numCache>
                <c:formatCode>0.000</c:formatCode>
                <c:ptCount val="181"/>
                <c:pt idx="0">
                  <c:v>1147.3031939141547</c:v>
                </c:pt>
                <c:pt idx="1">
                  <c:v>1144.5084209970373</c:v>
                </c:pt>
                <c:pt idx="2">
                  <c:v>1136.137718098405</c:v>
                </c:pt>
                <c:pt idx="3">
                  <c:v>1122.2318664413629</c:v>
                </c:pt>
                <c:pt idx="4">
                  <c:v>1102.8586139373706</c:v>
                </c:pt>
                <c:pt idx="5">
                  <c:v>1078.1123451252347</c:v>
                </c:pt>
                <c:pt idx="6">
                  <c:v>1048.1136213391237</c:v>
                </c:pt>
                <c:pt idx="7">
                  <c:v>1013.0085933458623</c:v>
                </c:pt>
                <c:pt idx="8">
                  <c:v>972.9682893130857</c:v>
                </c:pt>
                <c:pt idx="9">
                  <c:v>928.1877815772064</c:v>
                </c:pt>
                <c:pt idx="10">
                  <c:v>878.8852362705932</c:v>
                </c:pt>
                <c:pt idx="11">
                  <c:v>825.3008504381046</c:v>
                </c:pt>
                <c:pt idx="12">
                  <c:v>767.6956818212325</c:v>
                </c:pt>
                <c:pt idx="13">
                  <c:v>706.3503770110283</c:v>
                </c:pt>
                <c:pt idx="14">
                  <c:v>641.5638041661177</c:v>
                </c:pt>
                <c:pt idx="15">
                  <c:v>573.6515969570778</c:v>
                </c:pt>
                <c:pt idx="16">
                  <c:v>502.9446168309198</c:v>
                </c:pt>
                <c:pt idx="17">
                  <c:v>429.7873410873767</c:v>
                </c:pt>
                <c:pt idx="18">
                  <c:v>354.53618462012946</c:v>
                </c:pt>
                <c:pt idx="19">
                  <c:v>277.5577634992651</c:v>
                </c:pt>
                <c:pt idx="20">
                  <c:v>199.22710885464176</c:v>
                </c:pt>
                <c:pt idx="21">
                  <c:v>119.9258397619169</c:v>
                </c:pt>
                <c:pt idx="22">
                  <c:v>40.04030403277602</c:v>
                </c:pt>
                <c:pt idx="23">
                  <c:v>-40.04030403277602</c:v>
                </c:pt>
                <c:pt idx="24">
                  <c:v>-119.92583976191713</c:v>
                </c:pt>
                <c:pt idx="25">
                  <c:v>-199.2271088546413</c:v>
                </c:pt>
                <c:pt idx="26">
                  <c:v>-277.5577634992653</c:v>
                </c:pt>
                <c:pt idx="27">
                  <c:v>-354.53618462012946</c:v>
                </c:pt>
                <c:pt idx="28">
                  <c:v>-429.7873410873772</c:v>
                </c:pt>
                <c:pt idx="29">
                  <c:v>-502.9446168309196</c:v>
                </c:pt>
                <c:pt idx="30">
                  <c:v>-573.6515969570778</c:v>
                </c:pt>
                <c:pt idx="31">
                  <c:v>-641.5638041661173</c:v>
                </c:pt>
                <c:pt idx="32">
                  <c:v>-706.3503770110294</c:v>
                </c:pt>
                <c:pt idx="33">
                  <c:v>-767.6956818212332</c:v>
                </c:pt>
                <c:pt idx="34">
                  <c:v>-825.3008504381055</c:v>
                </c:pt>
                <c:pt idx="35">
                  <c:v>-878.8852362705943</c:v>
                </c:pt>
                <c:pt idx="36">
                  <c:v>-928.1877815772075</c:v>
                </c:pt>
                <c:pt idx="37">
                  <c:v>-972.9682893130855</c:v>
                </c:pt>
                <c:pt idx="38">
                  <c:v>-1013.0085933458606</c:v>
                </c:pt>
                <c:pt idx="39">
                  <c:v>-1048.1136213391248</c:v>
                </c:pt>
                <c:pt idx="40">
                  <c:v>-1078.1123451252354</c:v>
                </c:pt>
                <c:pt idx="41">
                  <c:v>-1102.8586139373685</c:v>
                </c:pt>
                <c:pt idx="42">
                  <c:v>-1122.2318664413624</c:v>
                </c:pt>
                <c:pt idx="43">
                  <c:v>-1136.1377180984061</c:v>
                </c:pt>
                <c:pt idx="44">
                  <c:v>-1144.5084209970378</c:v>
                </c:pt>
                <c:pt idx="45">
                  <c:v>-1147.3031939141554</c:v>
                </c:pt>
                <c:pt idx="46">
                  <c:v>-1144.5084209970353</c:v>
                </c:pt>
                <c:pt idx="47">
                  <c:v>-1136.1377180984057</c:v>
                </c:pt>
                <c:pt idx="48">
                  <c:v>-1122.2318664413638</c:v>
                </c:pt>
                <c:pt idx="49">
                  <c:v>-1102.8586139373701</c:v>
                </c:pt>
                <c:pt idx="50">
                  <c:v>-1078.112345125236</c:v>
                </c:pt>
                <c:pt idx="51">
                  <c:v>-1048.113621339126</c:v>
                </c:pt>
                <c:pt idx="52">
                  <c:v>-1013.0085933458621</c:v>
                </c:pt>
                <c:pt idx="53">
                  <c:v>-972.9682893130846</c:v>
                </c:pt>
                <c:pt idx="54">
                  <c:v>-928.1877815772076</c:v>
                </c:pt>
                <c:pt idx="55">
                  <c:v>-878.8852362705954</c:v>
                </c:pt>
                <c:pt idx="56">
                  <c:v>-825.3008504381052</c:v>
                </c:pt>
                <c:pt idx="57">
                  <c:v>-767.6956818212315</c:v>
                </c:pt>
                <c:pt idx="58">
                  <c:v>-706.3503770110289</c:v>
                </c:pt>
                <c:pt idx="59">
                  <c:v>-641.563804166118</c:v>
                </c:pt>
                <c:pt idx="60">
                  <c:v>-573.6515969570768</c:v>
                </c:pt>
                <c:pt idx="61">
                  <c:v>-502.9446168309199</c:v>
                </c:pt>
                <c:pt idx="62">
                  <c:v>-429.7873410873792</c:v>
                </c:pt>
                <c:pt idx="63">
                  <c:v>-354.5361846201305</c:v>
                </c:pt>
                <c:pt idx="64">
                  <c:v>-277.5577634992643</c:v>
                </c:pt>
                <c:pt idx="65">
                  <c:v>-199.2271088546422</c:v>
                </c:pt>
                <c:pt idx="66">
                  <c:v>-119.92583976191929</c:v>
                </c:pt>
                <c:pt idx="67">
                  <c:v>-40.04030403277852</c:v>
                </c:pt>
                <c:pt idx="68">
                  <c:v>40.04030403277466</c:v>
                </c:pt>
                <c:pt idx="69">
                  <c:v>119.92583976191725</c:v>
                </c:pt>
                <c:pt idx="70">
                  <c:v>199.22710885464096</c:v>
                </c:pt>
                <c:pt idx="71">
                  <c:v>277.5577634992635</c:v>
                </c:pt>
                <c:pt idx="72">
                  <c:v>354.53618462012946</c:v>
                </c:pt>
                <c:pt idx="73">
                  <c:v>429.7873410873758</c:v>
                </c:pt>
                <c:pt idx="74">
                  <c:v>502.94461683091674</c:v>
                </c:pt>
                <c:pt idx="75">
                  <c:v>573.651596957076</c:v>
                </c:pt>
                <c:pt idx="76">
                  <c:v>641.5638041661173</c:v>
                </c:pt>
                <c:pt idx="77">
                  <c:v>706.3503770110292</c:v>
                </c:pt>
                <c:pt idx="78">
                  <c:v>767.6956818212335</c:v>
                </c:pt>
                <c:pt idx="79">
                  <c:v>825.3008504381041</c:v>
                </c:pt>
                <c:pt idx="80">
                  <c:v>878.8852362705939</c:v>
                </c:pt>
                <c:pt idx="81">
                  <c:v>928.1877815772064</c:v>
                </c:pt>
                <c:pt idx="82">
                  <c:v>972.9682893130849</c:v>
                </c:pt>
                <c:pt idx="83">
                  <c:v>1013.0085933458613</c:v>
                </c:pt>
                <c:pt idx="84">
                  <c:v>1048.1136213391237</c:v>
                </c:pt>
                <c:pt idx="85">
                  <c:v>1078.1123451252347</c:v>
                </c:pt>
                <c:pt idx="86">
                  <c:v>1102.8586139373701</c:v>
                </c:pt>
                <c:pt idx="87">
                  <c:v>1122.2318664413629</c:v>
                </c:pt>
                <c:pt idx="88">
                  <c:v>1136.137718098406</c:v>
                </c:pt>
                <c:pt idx="89">
                  <c:v>1144.5084209970373</c:v>
                </c:pt>
                <c:pt idx="90">
                  <c:v>1147.3031939141547</c:v>
                </c:pt>
                <c:pt idx="91">
                  <c:v>1144.5084209970375</c:v>
                </c:pt>
                <c:pt idx="92">
                  <c:v>1136.137718098405</c:v>
                </c:pt>
                <c:pt idx="93">
                  <c:v>1122.2318664413629</c:v>
                </c:pt>
                <c:pt idx="94">
                  <c:v>1102.8586139373713</c:v>
                </c:pt>
                <c:pt idx="95">
                  <c:v>1078.1123451252356</c:v>
                </c:pt>
                <c:pt idx="96">
                  <c:v>1048.1136213391244</c:v>
                </c:pt>
                <c:pt idx="97">
                  <c:v>1013.0085933458608</c:v>
                </c:pt>
                <c:pt idx="98">
                  <c:v>972.9682893130853</c:v>
                </c:pt>
                <c:pt idx="99">
                  <c:v>928.1877815772073</c:v>
                </c:pt>
                <c:pt idx="100">
                  <c:v>878.8852362705929</c:v>
                </c:pt>
                <c:pt idx="101">
                  <c:v>825.3008504381046</c:v>
                </c:pt>
                <c:pt idx="102">
                  <c:v>767.6956818212338</c:v>
                </c:pt>
                <c:pt idx="103">
                  <c:v>706.3503770110287</c:v>
                </c:pt>
                <c:pt idx="104">
                  <c:v>641.5638041661193</c:v>
                </c:pt>
                <c:pt idx="105">
                  <c:v>573.6515969570798</c:v>
                </c:pt>
                <c:pt idx="106">
                  <c:v>502.9446168309207</c:v>
                </c:pt>
                <c:pt idx="107">
                  <c:v>429.78734108737854</c:v>
                </c:pt>
                <c:pt idx="108">
                  <c:v>354.53618462012673</c:v>
                </c:pt>
                <c:pt idx="109">
                  <c:v>277.55776349926396</c:v>
                </c:pt>
                <c:pt idx="110">
                  <c:v>199.22710885464198</c:v>
                </c:pt>
                <c:pt idx="111">
                  <c:v>119.925839761916</c:v>
                </c:pt>
                <c:pt idx="112">
                  <c:v>40.04030403277602</c:v>
                </c:pt>
                <c:pt idx="113">
                  <c:v>-40.04030403277511</c:v>
                </c:pt>
                <c:pt idx="114">
                  <c:v>-119.92583976191418</c:v>
                </c:pt>
                <c:pt idx="115">
                  <c:v>-199.22710885464085</c:v>
                </c:pt>
                <c:pt idx="116">
                  <c:v>-277.5577634992626</c:v>
                </c:pt>
                <c:pt idx="117">
                  <c:v>-354.5361846201263</c:v>
                </c:pt>
                <c:pt idx="118">
                  <c:v>-429.7873410873781</c:v>
                </c:pt>
                <c:pt idx="119">
                  <c:v>-502.9446168309182</c:v>
                </c:pt>
                <c:pt idx="120">
                  <c:v>-573.6515969570792</c:v>
                </c:pt>
                <c:pt idx="121">
                  <c:v>-641.5638041661173</c:v>
                </c:pt>
                <c:pt idx="122">
                  <c:v>-706.3503770110274</c:v>
                </c:pt>
                <c:pt idx="123">
                  <c:v>-767.6956818212327</c:v>
                </c:pt>
                <c:pt idx="124">
                  <c:v>-825.3008504381037</c:v>
                </c:pt>
                <c:pt idx="125">
                  <c:v>-878.885236270592</c:v>
                </c:pt>
                <c:pt idx="126">
                  <c:v>-928.1877815772061</c:v>
                </c:pt>
                <c:pt idx="127">
                  <c:v>-972.9682893130832</c:v>
                </c:pt>
                <c:pt idx="128">
                  <c:v>-1013.0085933458579</c:v>
                </c:pt>
                <c:pt idx="129">
                  <c:v>-1048.1136213391262</c:v>
                </c:pt>
                <c:pt idx="130">
                  <c:v>-1078.1123451252352</c:v>
                </c:pt>
                <c:pt idx="131">
                  <c:v>-1102.8586139373701</c:v>
                </c:pt>
                <c:pt idx="132">
                  <c:v>-1122.2318664413624</c:v>
                </c:pt>
                <c:pt idx="133">
                  <c:v>-1136.137718098405</c:v>
                </c:pt>
                <c:pt idx="134">
                  <c:v>-1144.5084209970387</c:v>
                </c:pt>
                <c:pt idx="135">
                  <c:v>-1147.3031939141542</c:v>
                </c:pt>
                <c:pt idx="136">
                  <c:v>-1144.5084209970341</c:v>
                </c:pt>
                <c:pt idx="137">
                  <c:v>-1136.1377180984025</c:v>
                </c:pt>
                <c:pt idx="138">
                  <c:v>-1122.2318664413622</c:v>
                </c:pt>
                <c:pt idx="139">
                  <c:v>-1102.8586139373679</c:v>
                </c:pt>
                <c:pt idx="140">
                  <c:v>-1078.1123451252352</c:v>
                </c:pt>
                <c:pt idx="141">
                  <c:v>-1048.1136213391287</c:v>
                </c:pt>
                <c:pt idx="142">
                  <c:v>-1013.0085933458636</c:v>
                </c:pt>
                <c:pt idx="143">
                  <c:v>-972.9682893130853</c:v>
                </c:pt>
                <c:pt idx="144">
                  <c:v>-928.1877815772073</c:v>
                </c:pt>
                <c:pt idx="145">
                  <c:v>-878.8852362705941</c:v>
                </c:pt>
                <c:pt idx="146">
                  <c:v>-825.3008504381028</c:v>
                </c:pt>
                <c:pt idx="147">
                  <c:v>-767.695681821232</c:v>
                </c:pt>
                <c:pt idx="148">
                  <c:v>-706.3503770110283</c:v>
                </c:pt>
                <c:pt idx="149">
                  <c:v>-641.5638041661182</c:v>
                </c:pt>
                <c:pt idx="150">
                  <c:v>-573.6515969570759</c:v>
                </c:pt>
                <c:pt idx="151">
                  <c:v>-502.94461683092106</c:v>
                </c:pt>
                <c:pt idx="152">
                  <c:v>-429.7873410873791</c:v>
                </c:pt>
                <c:pt idx="153">
                  <c:v>-354.53618462013014</c:v>
                </c:pt>
                <c:pt idx="154">
                  <c:v>-277.55776349926384</c:v>
                </c:pt>
                <c:pt idx="155">
                  <c:v>-199.22710885464085</c:v>
                </c:pt>
                <c:pt idx="156">
                  <c:v>-119.92583976191918</c:v>
                </c:pt>
                <c:pt idx="157">
                  <c:v>-40.04030403277852</c:v>
                </c:pt>
                <c:pt idx="158">
                  <c:v>40.04030403277534</c:v>
                </c:pt>
                <c:pt idx="159">
                  <c:v>119.92583976191759</c:v>
                </c:pt>
                <c:pt idx="160">
                  <c:v>199.22710885464176</c:v>
                </c:pt>
                <c:pt idx="161">
                  <c:v>277.5577634992634</c:v>
                </c:pt>
                <c:pt idx="162">
                  <c:v>354.53618462012946</c:v>
                </c:pt>
                <c:pt idx="163">
                  <c:v>429.7873410873758</c:v>
                </c:pt>
                <c:pt idx="164">
                  <c:v>502.94461683091663</c:v>
                </c:pt>
                <c:pt idx="165">
                  <c:v>573.6515969570755</c:v>
                </c:pt>
                <c:pt idx="166">
                  <c:v>641.5638041661174</c:v>
                </c:pt>
                <c:pt idx="167">
                  <c:v>706.350377011029</c:v>
                </c:pt>
                <c:pt idx="168">
                  <c:v>767.6956818212334</c:v>
                </c:pt>
                <c:pt idx="169">
                  <c:v>825.3008504381046</c:v>
                </c:pt>
                <c:pt idx="170">
                  <c:v>878.8852362705934</c:v>
                </c:pt>
                <c:pt idx="171">
                  <c:v>928.1877815772068</c:v>
                </c:pt>
                <c:pt idx="172">
                  <c:v>972.9682893130844</c:v>
                </c:pt>
                <c:pt idx="173">
                  <c:v>1013.0085933458618</c:v>
                </c:pt>
                <c:pt idx="174">
                  <c:v>1048.1136213391237</c:v>
                </c:pt>
                <c:pt idx="175">
                  <c:v>1078.1123451252347</c:v>
                </c:pt>
                <c:pt idx="176">
                  <c:v>1102.8586139373701</c:v>
                </c:pt>
                <c:pt idx="177">
                  <c:v>1122.2318664413624</c:v>
                </c:pt>
                <c:pt idx="178">
                  <c:v>1136.137718098406</c:v>
                </c:pt>
                <c:pt idx="179">
                  <c:v>1144.5084209970373</c:v>
                </c:pt>
                <c:pt idx="180">
                  <c:v>1147.3031939141547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39760"/>
        <c:axId val="336041442"/>
      </c:scatterChart>
      <c:valAx>
        <c:axId val="33604144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Force en 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421339760"/>
        <c:crosses val="autoZero"/>
        <c:crossBetween val="midCat"/>
      </c:valAx>
      <c:valAx>
        <c:axId val="421339760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>Angle Theta1 en °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0" i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 b="0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336041442"/>
        <c:crosses val="autoZero"/>
        <c:crossBetween val="midCat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 b="0" i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b48350686440b7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2210c6d8f2414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9</xdr:col>
      <xdr:colOff>695325</xdr:colOff>
      <xdr:row>33</xdr:row>
      <xdr:rowOff>95250</xdr:rowOff>
    </xdr:from>
    <xdr:ext cx="4552950" cy="27241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ec3d0f6cc14a25"/>
        </a:graphicData>
      </a:graphic>
    </xdr:graphicFrame>
    <xdr:clientData/>
  </xdr:oneCellAnchor>
  <xdr:oneCellAnchor>
    <xdr:from>
      <xdr:col>13</xdr:col>
      <xdr:colOff>647700</xdr:colOff>
      <xdr:row>50</xdr:row>
      <xdr:rowOff>28575</xdr:rowOff>
    </xdr:from>
    <xdr:ext cx="4552950" cy="2714625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83857975c14c24"/>
        </a:graphicData>
      </a:graphic>
    </xdr:graphicFrame>
    <xdr:clientData/>
  </xdr:oneCellAnchor>
  <xdr:oneCellAnchor>
    <xdr:from>
      <xdr:col>24</xdr:col>
      <xdr:colOff>257175</xdr:colOff>
      <xdr:row>50</xdr:row>
      <xdr:rowOff>133350</xdr:rowOff>
    </xdr:from>
    <xdr:ext cx="4552950" cy="272415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1bfc14316e4382"/>
        </a:graphicData>
      </a:graphic>
    </xdr:graphicFrame>
    <xdr:clientData/>
  </xdr:oneCellAnchor>
  <xdr:oneCellAnchor>
    <xdr:from>
      <xdr:col>19</xdr:col>
      <xdr:colOff>419100</xdr:colOff>
      <xdr:row>34</xdr:row>
      <xdr:rowOff>66675</xdr:rowOff>
    </xdr:from>
    <xdr:ext cx="4552950" cy="2714625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915f4cc465489c"/>
        </a:graphicData>
      </a:graphic>
    </xdr:graphicFrame>
    <xdr:clientData/>
  </xdr:oneCellAnchor>
  <xdr:oneCellAnchor>
    <xdr:from>
      <xdr:col>29</xdr:col>
      <xdr:colOff>19050</xdr:colOff>
      <xdr:row>34</xdr:row>
      <xdr:rowOff>142875</xdr:rowOff>
    </xdr:from>
    <xdr:ext cx="4562475" cy="27241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fc43891b9b419c"/>
        </a:graphicData>
      </a:graphic>
    </xdr:graphicFrame>
    <xdr:clientData/>
  </xdr:oneCellAnchor>
  <xdr:oneCellAnchor>
    <xdr:from>
      <xdr:col>34</xdr:col>
      <xdr:colOff>635000</xdr:colOff>
      <xdr:row>51</xdr:row>
      <xdr:rowOff>111125</xdr:rowOff>
    </xdr:from>
    <xdr:ext cx="4552950" cy="2714625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2c8394d7d4442c"/>
        </a:graphicData>
      </a:graphic>
    </xdr:graphicFrame>
    <xdr:clientData/>
  </xdr:oneCellAnchor>
  <xdr:oneCellAnchor>
    <xdr:from>
      <xdr:col>38</xdr:col>
      <xdr:colOff>635000</xdr:colOff>
      <xdr:row>35</xdr:row>
      <xdr:rowOff>47625</xdr:rowOff>
    </xdr:from>
    <xdr:ext cx="4552950" cy="2714625"/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e38d461ee04878"/>
        </a:graphicData>
      </a:graphic>
    </xdr:graphicFrame>
    <xdr:clientData/>
  </xdr:oneCellAnchor>
  <xdr:oneCellAnchor>
    <xdr:from>
      <xdr:col>43</xdr:col>
      <xdr:colOff>174625</xdr:colOff>
      <xdr:row>51</xdr:row>
      <xdr:rowOff>158750</xdr:rowOff>
    </xdr:from>
    <xdr:ext cx="4562475" cy="2724150"/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b63de2b3da4dcd"/>
        </a:graphicData>
      </a:graphic>
    </xdr:graphicFrame>
    <xdr:clientData/>
  </xdr:oneCellAnchor>
  <xdr:oneCellAnchor>
    <xdr:from>
      <xdr:col>49</xdr:col>
      <xdr:colOff>455084</xdr:colOff>
      <xdr:row>33</xdr:row>
      <xdr:rowOff>116417</xdr:rowOff>
    </xdr:from>
    <xdr:ext cx="4552950" cy="2714625"/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8e37f6b8614596"/>
        </a:graphicData>
      </a:graphic>
    </xdr:graphicFrame>
    <xdr:clientData/>
  </xdr:oneCellAnchor>
  <xdr:oneCellAnchor>
    <xdr:from>
      <xdr:col>50</xdr:col>
      <xdr:colOff>476250</xdr:colOff>
      <xdr:row>47</xdr:row>
      <xdr:rowOff>158750</xdr:rowOff>
    </xdr:from>
    <xdr:ext cx="4552950" cy="2714625"/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93a9c8eafe4efb"/>
        </a:graphicData>
      </a:graphic>
    </xdr:graphicFrame>
    <xdr:clientData/>
  </xdr:oneCellAnchor>
  <xdr:oneCellAnchor>
    <xdr:from>
      <xdr:col>53</xdr:col>
      <xdr:colOff>793750</xdr:colOff>
      <xdr:row>33</xdr:row>
      <xdr:rowOff>127001</xdr:rowOff>
    </xdr:from>
    <xdr:ext cx="4552950" cy="2714625"/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2b89cd50ff45e8"/>
        </a:graphicData>
      </a:graphic>
    </xdr:graphicFrame>
    <xdr:clientData/>
  </xdr:oneCellAnchor>
  <xdr:oneCellAnchor>
    <xdr:from>
      <xdr:col>48</xdr:col>
      <xdr:colOff>526676</xdr:colOff>
      <xdr:row>11</xdr:row>
      <xdr:rowOff>78442</xdr:rowOff>
    </xdr:from>
    <xdr:ext cx="6398559" cy="2891118"/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3eb5b9cef84b20"/>
        </a:graphicData>
      </a:graphic>
    </xdr:graphicFrame>
    <xdr:clientData/>
  </xdr:oneCellAnchor>
  <xdr:oneCellAnchor>
    <xdr:from>
      <xdr:col>21</xdr:col>
      <xdr:colOff>214968</xdr:colOff>
      <xdr:row>21</xdr:row>
      <xdr:rowOff>137458</xdr:rowOff>
    </xdr:from>
    <xdr:ext cx="4381500" cy="1171575"/>
    <xdr:pic>
      <xdr:nvPicPr>
        <xdr:cNvPr id="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4c90bdff4147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37</xdr:col>
      <xdr:colOff>234631</xdr:colOff>
      <xdr:row>21</xdr:row>
      <xdr:rowOff>127319</xdr:rowOff>
    </xdr:from>
    <xdr:ext cx="6334125" cy="1352550"/>
    <xdr:pic>
      <xdr:nvPicPr>
        <xdr:cNvPr id="14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51a726c9841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twoCellAnchor editAs="oneCell">
    <xdr:from>
      <xdr:col>38</xdr:col>
      <xdr:colOff>403412</xdr:colOff>
      <xdr:row>0</xdr:row>
      <xdr:rowOff>0</xdr:rowOff>
    </xdr:from>
    <xdr:to>
      <xdr:col>46</xdr:col>
      <xdr:colOff>27098</xdr:colOff>
      <xdr:row>19</xdr:row>
      <xdr:rowOff>66956</xdr:rowOff>
    </xdr:to>
    <xdr:pic>
      <xdr:nvPicPr>
        <xdr:cNvPr id="15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aff272dc8445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40822</xdr:colOff>
      <xdr:row>24</xdr:row>
      <xdr:rowOff>136071</xdr:rowOff>
    </xdr:from>
    <xdr:to>
      <xdr:col>15</xdr:col>
      <xdr:colOff>149687</xdr:colOff>
      <xdr:row>26</xdr:row>
      <xdr:rowOff>176892</xdr:rowOff>
    </xdr:to>
    <xdr:pic>
      <xdr:nvPicPr>
        <xdr:cNvPr id="16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11493bba7f48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13607</xdr:colOff>
      <xdr:row>27</xdr:row>
      <xdr:rowOff>34909</xdr:rowOff>
    </xdr:from>
    <xdr:to>
      <xdr:col>18</xdr:col>
      <xdr:colOff>625929</xdr:colOff>
      <xdr:row>28</xdr:row>
      <xdr:rowOff>159178</xdr:rowOff>
    </xdr:to>
    <xdr:pic>
      <xdr:nvPicPr>
        <xdr:cNvPr id="17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568cb4c9e141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12</xdr:row>
      <xdr:rowOff>178593</xdr:rowOff>
    </xdr:from>
    <xdr:to>
      <xdr:col>7</xdr:col>
      <xdr:colOff>549392</xdr:colOff>
      <xdr:row>14</xdr:row>
      <xdr:rowOff>59531</xdr:rowOff>
    </xdr:to>
    <xdr:pic>
      <xdr:nvPicPr>
        <xdr:cNvPr id="18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87143b358c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15</xdr:col>
      <xdr:colOff>34891</xdr:colOff>
      <xdr:row>0</xdr:row>
      <xdr:rowOff>0</xdr:rowOff>
    </xdr:from>
    <xdr:to>
      <xdr:col>22</xdr:col>
      <xdr:colOff>302595</xdr:colOff>
      <xdr:row>16</xdr:row>
      <xdr:rowOff>190500</xdr:rowOff>
    </xdr:to>
    <xdr:pic>
      <xdr:nvPicPr>
        <xdr:cNvPr id="19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3a25120a2842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23</xdr:col>
      <xdr:colOff>7471</xdr:colOff>
      <xdr:row>0</xdr:row>
      <xdr:rowOff>1</xdr:rowOff>
    </xdr:from>
    <xdr:to>
      <xdr:col>30</xdr:col>
      <xdr:colOff>589409</xdr:colOff>
      <xdr:row>21</xdr:row>
      <xdr:rowOff>104589</xdr:rowOff>
    </xdr:to>
    <xdr:pic>
      <xdr:nvPicPr>
        <xdr:cNvPr id="20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b50f5bc77b49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662912</xdr:colOff>
      <xdr:row>0</xdr:row>
      <xdr:rowOff>146538</xdr:rowOff>
    </xdr:from>
    <xdr:to>
      <xdr:col>14</xdr:col>
      <xdr:colOff>726657</xdr:colOff>
      <xdr:row>16</xdr:row>
      <xdr:rowOff>160494</xdr:rowOff>
    </xdr:to>
    <xdr:pic>
      <xdr:nvPicPr>
        <xdr:cNvPr id="2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b4c34f6b794f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26e48c580ea4f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e0ddb5c7c8b481d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5" hidden="0" customWidth="1"/>
    <x:col min="4" max="4" width="16" hidden="0" customWidth="1"/>
    <x:col min="5" max="5" width="22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1" max="11" width="10" hidden="0" customWidth="1"/>
    <x:col min="12" max="12" width="30" hidden="0" customWidth="1"/>
  </x:cols>
  <x:sheetData>
    <x:row r="1">
      <x:c r="A1" s="296" t="str">
        <x:v>V4 135° — Tableau de bord</x:v>
      </x:c>
      <x:c r="B1" s="296"/>
      <x:c r="C1" s="296"/>
      <x:c r="D1" s="296"/>
      <x:c r="E1" s="296"/>
      <x:c r="F1" s="296"/>
      <x:c r="G1" s="296"/>
      <x:c r="H1" s="296"/>
      <x:c r="I1" s="296"/>
      <x:c r="J1" s="296"/>
      <x:c r="K1" s="296"/>
      <x:c r="L1" s="296"/>
    </x:row>
    <x:row r="2">
      <x:c r="A2" s="296"/>
      <x:c r="B2" s="296"/>
      <x:c r="C2" s="296"/>
      <x:c r="D2" s="296"/>
      <x:c r="E2" s="296"/>
      <x:c r="F2" s="296"/>
      <x:c r="G2" s="296"/>
      <x:c r="H2" s="296"/>
      <x:c r="I2" s="296"/>
      <x:c r="J2" s="296"/>
      <x:c r="K2" s="296"/>
      <x:c r="L2" s="296"/>
    </x:row>
    <x:row r="3">
      <x:c r="A3" s="120" t="str">
        <x:v>Architecture · cinématique · efforts d'inertie · moments · équilibrage</x:v>
      </x:c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</x:row>
    <x:row r="5">
      <x:c r="A5" s="126" t="str">
        <x:v>Architecture</x:v>
      </x:c>
      <x:c r="B5" s="126" t="str"/>
      <x:c r="C5" s="126" t="str"/>
      <x:c r="D5" s="126" t="str"/>
      <x:c r="F5" s="130" t="str">
        <x:v>Charges &amp; structure</x:v>
      </x:c>
      <x:c r="G5" s="130" t="str"/>
      <x:c r="H5" s="130" t="str"/>
      <x:c r="I5" s="130" t="str"/>
      <x:c r="K5" s="386" t="str">
        <x:v>Navigation</x:v>
      </x:c>
      <x:c r="L5" s="386"/>
    </x:row>
    <x:row r="6">
      <x:c r="A6" s="145" t="str">
        <x:v>Cylindres</x:v>
      </x:c>
      <x:c r="B6" s="314" t="n">
        <x:f>Feuil1!C3</x:f>
        <x:v>4</x:v>
      </x:c>
      <x:c r="C6" s="153" t="str">
        <x:v>Angle du V</x:v>
      </x:c>
      <x:c r="D6" s="314" t="n">
        <x:f>Feuil1!C4</x:f>
        <x:v>135</x:v>
      </x:c>
      <x:c r="E6" s="145"/>
      <x:c r="F6" s="145" t="str">
        <x:v>Force combustion [kN]</x:v>
      </x:c>
      <x:c r="G6" s="320" t="n">
        <x:f>Feuil1!G21/1000</x:f>
        <x:v>57.72676500971243</x:v>
      </x:c>
      <x:c r="H6" s="308" t="str">
        <x:v>Contrainte section [MPa]</x:v>
      </x:c>
      <x:c r="I6" s="320" t="n">
        <x:f>Feuil1!G22</x:f>
        <x:v>392.699081698724</x:v>
      </x:c>
      <x:c r="K6" s="330" t="str">
        <x:v>1</x:v>
      </x:c>
      <x:c r="L6" s="330" t="str">
        <x:v>Inputs</x:v>
      </x:c>
    </x:row>
    <x:row r="7">
      <x:c r="A7" s="145" t="str">
        <x:v>Cylindrée totale [L]</x:v>
      </x:c>
      <x:c r="B7" s="314" t="n">
        <x:f>Feuil1!C9</x:f>
        <x:v>1.077566280181299</x:v>
      </x:c>
      <x:c r="C7" s="153" t="str">
        <x:v>Vitesse [tr/min]</x:v>
      </x:c>
      <x:c r="D7" s="314" t="n">
        <x:f>Feuil1!C12</x:f>
        <x:v>3000</x:v>
      </x:c>
      <x:c r="E7" s="145"/>
      <x:c r="F7" s="145" t="str">
        <x:v>Pression combustion [MPa]</x:v>
      </x:c>
      <x:c r="G7" s="320" t="n">
        <x:f>Inputs!C20</x:f>
        <x:v>15</x:v>
      </x:c>
      <x:c r="H7" s="308" t="str">
        <x:v>Section bielle [mm²]</x:v>
      </x:c>
      <x:c r="I7" s="320" t="n">
        <x:f>Inputs!C21*Inputs!C22</x:f>
        <x:v>147</x:v>
      </x:c>
      <x:c r="K7" s="330" t="str">
        <x:v>2</x:v>
      </x:c>
      <x:c r="L7" s="330" t="str">
        <x:v>Équilibrage</x:v>
      </x:c>
    </x:row>
    <x:row r="8">
      <x:c r="A8" s="145" t="str">
        <x:v>Rayon manivelle [mm]</x:v>
      </x:c>
      <x:c r="B8" s="314" t="n">
        <x:f>Feuil1!C6*1000</x:f>
        <x:v>35</x:v>
      </x:c>
      <x:c r="C8" s="153" t="str">
        <x:v>Longueur bielle [mm]</x:v>
      </x:c>
      <x:c r="D8" s="314" t="n">
        <x:f>Feuil1!C7*1000</x:f>
        <x:v>111</x:v>
      </x:c>
      <x:c r="E8" s="145"/>
      <x:c r="F8" s="145" t="str">
        <x:v>Galop max [N·m]</x:v>
      </x:c>
      <x:c r="G8" s="320" t="n">
        <x:f>MAX(MAX(Feuil1!AS32:AS212),-MIN(Feuil1!AS32:AS212))</x:f>
        <x:v>758.0651026070207</x:v>
      </x:c>
      <x:c r="H8" s="308" t="str">
        <x:v>Lacet max [N·m]</x:v>
      </x:c>
      <x:c r="I8" s="320" t="n">
        <x:f>MAX(MAX(Feuil1!AT32:AT212),-MIN(Feuil1!AT32:AT212))</x:f>
        <x:v>2214.2068948523915</x:v>
      </x:c>
      <x:c r="K8" s="330" t="str">
        <x:v>3</x:v>
      </x:c>
      <x:c r="L8" s="330" t="str">
        <x:v>Calculs détaillés</x:v>
      </x:c>
    </x:row>
    <x:row r="9">
      <x:c r="A9" s="145" t="str">
        <x:v>R/L</x:v>
      </x:c>
      <x:c r="B9" s="314" t="n">
        <x:f>Feuil1!C8</x:f>
        <x:v>0.3153153153153153</x:v>
      </x:c>
      <x:c r="C9" s="153" t="str">
        <x:v>Masse piston [kg]</x:v>
      </x:c>
      <x:c r="D9" s="314" t="n">
        <x:f>Feuil1!C14</x:f>
        <x:v>0.4915159999999998</x:v>
      </x:c>
      <x:c r="E9" s="145"/>
      <x:c r="F9" s="145" t="str">
        <x:v>Pilon brut max [kN]</x:v>
      </x:c>
      <x:c r="G9" s="320" t="n">
        <x:f>MAX(MAX(Feuil1!AF32:AF212),-MIN(Feuil1!AF32:AF212))/1000</x:f>
        <x:v>1.1473031939141554</x:v>
      </x:c>
      <x:c r="H9" s="308" t="str">
        <x:v>Pilon résiduel max [kN]</x:v>
      </x:c>
      <x:c r="I9" s="320" t="n">
        <x:f>MAX(MAX('Équilibrage'!D4:D184),-MIN('Équilibrage'!D4:D184))/1000</x:f>
        <x:v>0.06457755676469742</x:v>
      </x:c>
      <x:c r="K9" s="330" t="str">
        <x:v>4</x:v>
      </x:c>
      <x:c r="L9" s="330" t="str">
        <x:v>Modifier les paramètres dans l'onglet Inputs</x:v>
      </x:c>
    </x:row>
    <x:row r="10">
      <x:c r="A10" s="145" t="str">
        <x:v>Masse alternative [kg]</x:v>
      </x:c>
      <x:c r="B10" s="314" t="n">
        <x:f>Feuil1!C24</x:f>
        <x:v>0.6881223999999997</x:v>
      </x:c>
      <x:c r="C10" s="153" t="str">
        <x:v>Masse rotative [kg]</x:v>
      </x:c>
      <x:c r="D10" s="314" t="n">
        <x:f>Feuil1!C23</x:f>
        <x:v>0.39588779999999985</x:v>
      </x:c>
      <x:c r="E10" s="145"/>
      <x:c r="F10" s="145"/>
      <x:c r="G10" s="145"/>
      <x:c r="H10" s="145"/>
      <x:c r="I10" s="145"/>
    </x:row>
    <x:row r="11">
      <x:c r="A11" s="145"/>
      <x:c r="B11" s="145"/>
      <x:c r="C11" s="145"/>
      <x:c r="D11" s="145"/>
      <x:c r="E11" s="145"/>
      <x:c r="F11" s="145"/>
      <x:c r="G11" s="145"/>
      <x:c r="H11" s="145"/>
      <x:c r="I11" s="145"/>
    </x:row>
    <x:row r="12">
      <x:c r="A12" s="148" t="str">
        <x:v>Équilibrage</x:v>
      </x:c>
      <x:c r="B12" s="148" t="str"/>
      <x:c r="C12" s="148" t="str"/>
      <x:c r="D12" s="148" t="str"/>
      <x:c r="E12" s="148" t="str"/>
      <x:c r="F12" s="148" t="str"/>
      <x:c r="G12" s="148" t="str"/>
      <x:c r="H12" s="148" t="str"/>
      <x:c r="I12" s="148" t="str"/>
    </x:row>
    <x:row r="13">
      <x:c r="A13" s="145" t="str">
        <x:v>Masselotte 1 [g]</x:v>
      </x:c>
      <x:c r="B13" s="320" t="n">
        <x:f>Inputs!C25</x:f>
        <x:v>80</x:v>
      </x:c>
      <x:c r="C13" s="308" t="str">
        <x:v>Masselotte 2 [g]</x:v>
      </x:c>
      <x:c r="D13" s="320" t="n">
        <x:f>Inputs!C26</x:f>
        <x:v>80</x:v>
      </x:c>
      <x:c r="E13" s="308" t="str">
        <x:v>Rayon [mm]</x:v>
      </x:c>
      <x:c r="F13" s="320" t="n">
        <x:f>Feuil1!AY6*1000</x:f>
        <x:v>17.5</x:v>
      </x:c>
      <x:c r="G13" s="308" t="str">
        <x:v>Phase [deg]</x:v>
      </x:c>
      <x:c r="H13" s="320" t="n">
        <x:f>Inputs!C27</x:f>
        <x:v>110</x:v>
      </x:c>
      <x:c r="I13" s="145" t="str"/>
    </x:row>
    <x:row r="14">
      <x:c r="A14" s="145" t="str">
        <x:v>Rapport vitesse</x:v>
      </x:c>
      <x:c r="B14" s="320" t="n">
        <x:f>Inputs!C28</x:f>
        <x:v>2</x:v>
      </x:c>
      <x:c r="C14" s="308" t="str">
        <x:v>ω masselottes [rad/s]</x:v>
      </x:c>
      <x:c r="D14" s="320" t="n">
        <x:f>Feuil1!AY9</x:f>
        <x:v>628.3185307179587</x:v>
      </x:c>
      <x:c r="E14" s="308" t="str">
        <x:v>Réduction pic Pilon</x:v>
      </x:c>
      <x:c r="F14" s="326" t="n">
        <x:f>1-I9/G9</x:f>
        <x:v>0.9437136084800882</x:v>
      </x:c>
      <x:c r="G14" s="309" t="str">
        <x:v>Résiduel / brut</x:v>
      </x:c>
      <x:c r="H14" s="326" t="n">
        <x:f>I9/G9</x:f>
        <x:v>0.056286391519911785</x:v>
      </x:c>
      <x:c r="I14" s="145" t="str"/>
    </x:row>
    <x:row r="15">
      <x:c r="A15" s="145" t="str">
        <x:v>Tamis max [N]</x:v>
      </x:c>
      <x:c r="B15" s="320" t="n">
        <x:f>MAX(MAX(Feuil1!AE32:AE212),-MIN(Feuil1!AE32:AE212))</x:f>
        <x:v>9.094947017729282e-13</x:v>
      </x:c>
      <x:c r="C15" s="308" t="str"/>
      <x:c r="D15" s="308" t="str"/>
      <x:c r="E15" s="308" t="str"/>
      <x:c r="F15" s="308" t="str"/>
      <x:c r="G15" s="308" t="str"/>
      <x:c r="H15" s="308" t="str"/>
      <x:c r="I15" s="145" t="str"/>
    </x:row>
    <x:row r="16">
      <x:c r="A16" s="145" t="str">
        <x:v>Lecture</x:v>
      </x:c>
      <x:c r="B16" s="301" t="str">
        <x:v>Le système vise à réduire la force de Pilon sans masquer les moments de Galop/Lacet : vérifier simultanément forces et moments avant validation mécanique.</x:v>
      </x:c>
      <x:c r="C16" s="301"/>
      <x:c r="D16" s="301"/>
      <x:c r="E16" s="301"/>
      <x:c r="F16" s="301"/>
      <x:c r="G16" s="301"/>
      <x:c r="H16" s="301"/>
      <x:c r="I16" s="301"/>
    </x:row>
  </x:sheetData>
  <x:mergeCells>
    <x:mergeCell ref="A1:L2"/>
    <x:mergeCell ref="A3:L3"/>
    <x:mergeCell ref="A5:D5"/>
    <x:mergeCell ref="F5:I5"/>
    <x:mergeCell ref="A12:I12"/>
    <x:mergeCell ref="B16:I16"/>
    <x:mergeCell ref="K5:L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</x:cols>
  <x:sheetData>
    <x:row r="1">
      <x:c r="A1" s="114" t="str">
        <x:v>V4 135° — Paramètres de calcul</x:v>
      </x:c>
      <x:c r="B1" s="114"/>
      <x:c r="C1" s="114"/>
      <x:c r="D1" s="114"/>
      <x:c r="E1" s="114"/>
      <x:c r="F1" s="114"/>
    </x:row>
    <x:row r="2">
      <x:c r="A2" s="114"/>
      <x:c r="B2" s="114"/>
      <x:c r="C2" s="114"/>
      <x:c r="D2" s="114"/>
      <x:c r="E2" s="114"/>
      <x:c r="F2" s="114"/>
    </x:row>
    <x:row r="3" ht="24" customHeight="1">
      <x:c r="A3" s="121" t="str">
        <x:v>Modifier uniquement les cellules bleues. Les calculs détaillés restent dans Feuil1.</x:v>
      </x:c>
      <x:c r="B3" s="121" t="str">
        <x:v>Modifier uniquement les cellules bleues. Les calculs détaillés restent dans Feuil1.</x:v>
      </x:c>
      <x:c r="C3" s="121" t="str">
        <x:v>Modifier uniquement les cellules bleues. Les calculs détaillés restent dans Feuil1.</x:v>
      </x:c>
      <x:c r="D3" s="121" t="str">
        <x:v>Modifier uniquement les cellules bleues. Les calculs détaillés restent dans Feuil1.</x:v>
      </x:c>
      <x:c r="E3" s="121" t="str">
        <x:v>Modifier uniquement les cellules bleues. Les calculs détaillés restent dans Feuil1.</x:v>
      </x:c>
      <x:c r="F3" s="121" t="str">
        <x:v>Modifier uniquement les cellules bleues. Les calculs détaillés restent dans Feuil1.</x:v>
      </x:c>
    </x:row>
    <x:row r="4">
      <x:c r="A4" s="138" t="str">
        <x:v>Paramètre</x:v>
      </x:c>
      <x:c r="B4" s="138" t="str">
        <x:v>Symbole</x:v>
      </x:c>
      <x:c r="C4" s="138" t="str">
        <x:v>Valeur</x:v>
      </x:c>
      <x:c r="D4" s="138" t="str">
        <x:v>Unité</x:v>
      </x:c>
      <x:c r="E4" s="138" t="str">
        <x:v>Bloc</x:v>
      </x:c>
      <x:c r="F4" s="138" t="str">
        <x:v>Cellule source</x:v>
      </x:c>
    </x:row>
    <x:row r="5">
      <x:c r="A5" s="126" t="str">
        <x:v>Architecture moteur</x:v>
      </x:c>
      <x:c r="B5" s="126" t="str"/>
      <x:c r="C5" s="126" t="str"/>
      <x:c r="D5" s="126" t="str"/>
      <x:c r="E5" s="126" t="str"/>
      <x:c r="F5" s="126" t="str"/>
    </x:row>
    <x:row r="6">
      <x:c r="A6" s="145" t="str">
        <x:v>Nombre de cylindres</x:v>
      </x:c>
      <x:c r="B6" s="145" t="str">
        <x:v>nb_cyl</x:v>
      </x:c>
      <x:c r="C6" s="160" t="n">
        <x:v>4</x:v>
      </x:c>
      <x:c r="D6" s="145" t="str">
        <x:v>-</x:v>
      </x:c>
      <x:c r="E6" s="145" t="str">
        <x:v>Architecture</x:v>
      </x:c>
      <x:c r="F6" s="145" t="str">
        <x:v>Feuil1!C3</x:v>
      </x:c>
    </x:row>
    <x:row r="7">
      <x:c r="A7" s="145" t="str">
        <x:v>Angle du V</x:v>
      </x:c>
      <x:c r="B7" s="145" t="str">
        <x:v>Vdeg</x:v>
      </x:c>
      <x:c r="C7" s="160" t="n">
        <x:v>135</x:v>
      </x:c>
      <x:c r="D7" s="145" t="str">
        <x:v>deg</x:v>
      </x:c>
      <x:c r="E7" s="145" t="str">
        <x:v>Architecture</x:v>
      </x:c>
      <x:c r="F7" s="145" t="str">
        <x:v>Feuil1!C4</x:v>
      </x:c>
    </x:row>
    <x:row r="8">
      <x:c r="A8" s="145" t="str">
        <x:v>Rayon de manivelle</x:v>
      </x:c>
      <x:c r="B8" s="145" t="str">
        <x:v>R</x:v>
      </x:c>
      <x:c r="C8" s="152" t="n">
        <x:v>0.035</x:v>
      </x:c>
      <x:c r="D8" s="145" t="str">
        <x:v>m</x:v>
      </x:c>
      <x:c r="E8" s="145" t="str">
        <x:v>Cinématique</x:v>
      </x:c>
      <x:c r="F8" s="145" t="str">
        <x:v>Feuil1!C6</x:v>
      </x:c>
    </x:row>
    <x:row r="9">
      <x:c r="A9" s="145" t="str">
        <x:v>Longueur de bielle</x:v>
      </x:c>
      <x:c r="B9" s="145" t="str">
        <x:v>L</x:v>
      </x:c>
      <x:c r="C9" s="152" t="n">
        <x:v>0.111</x:v>
      </x:c>
      <x:c r="D9" s="145" t="str">
        <x:v>m</x:v>
      </x:c>
      <x:c r="E9" s="145" t="str">
        <x:v>Cinématique</x:v>
      </x:c>
      <x:c r="F9" s="145" t="str">
        <x:v>Feuil1!C7</x:v>
      </x:c>
    </x:row>
    <x:row r="10">
      <x:c r="A10" s="145" t="str">
        <x:v>Cylindrée totale visée</x:v>
      </x:c>
      <x:c r="B10" s="145" t="str">
        <x:v>Cyl_tot</x:v>
      </x:c>
      <x:c r="C10" s="152" t="n">
        <x:v>1.077566280181299</x:v>
      </x:c>
      <x:c r="D10" s="145" t="str">
        <x:v>L</x:v>
      </x:c>
      <x:c r="E10" s="145" t="str">
        <x:v>Dimensionnement</x:v>
      </x:c>
      <x:c r="F10" s="145" t="str">
        <x:v>Feuil1!C9</x:v>
      </x:c>
    </x:row>
    <x:row r="11">
      <x:c r="A11" s="145" t="str">
        <x:v>Vitesse de rotation</x:v>
      </x:c>
      <x:c r="B11" s="145" t="str">
        <x:v>N</x:v>
      </x:c>
      <x:c r="C11" s="160" t="n">
        <x:v>3000</x:v>
      </x:c>
      <x:c r="D11" s="145" t="str">
        <x:v>tr/min</x:v>
      </x:c>
      <x:c r="E11" s="145" t="str">
        <x:v>Fonctionnement</x:v>
      </x:c>
      <x:c r="F11" s="145" t="str">
        <x:v>Feuil1!C12</x:v>
      </x:c>
    </x:row>
    <x:row r="12">
      <x:c r="A12" s="145" t="str">
        <x:v>Masse totale vilebrequin</x:v>
      </x:c>
      <x:c r="B12" s="145" t="str">
        <x:v>Mvil_tot</x:v>
      </x:c>
      <x:c r="C12" s="152" t="n">
        <x:v>10.7</x:v>
      </x:c>
      <x:c r="D12" s="145" t="str">
        <x:v>kg</x:v>
      </x:c>
      <x:c r="E12" s="145" t="str">
        <x:v>Masses</x:v>
      </x:c>
      <x:c r="F12" s="145" t="str">
        <x:v>Feuil1!C16</x:v>
      </x:c>
    </x:row>
    <x:row r="13">
      <x:c r="A13" s="145" t="str">
        <x:v>Position CG vilebrequin</x:v>
      </x:c>
      <x:c r="B13" s="145" t="str">
        <x:v>OG</x:v>
      </x:c>
      <x:c r="C13" s="152" t="n">
        <x:v>-0.002</x:v>
      </x:c>
      <x:c r="D13" s="145" t="str">
        <x:v>m</x:v>
      </x:c>
      <x:c r="E13" s="145" t="str">
        <x:v>Masses</x:v>
      </x:c>
      <x:c r="F13" s="145" t="str">
        <x:v>Feuil1!C18</x:v>
      </x:c>
    </x:row>
    <x:row r="14">
      <x:c r="A14" s="145"/>
      <x:c r="B14" s="145"/>
      <x:c r="C14" s="153"/>
      <x:c r="D14" s="145"/>
      <x:c r="E14" s="145"/>
      <x:c r="F14" s="145"/>
    </x:row>
    <x:row r="15">
      <x:c r="A15" s="147" t="str">
        <x:v>Géométrie axiale &amp; chargement bielle</x:v>
      </x:c>
      <x:c r="B15" s="147" t="str"/>
      <x:c r="C15" s="154" t="str"/>
      <x:c r="D15" s="147" t="str"/>
      <x:c r="E15" s="147" t="str"/>
      <x:c r="F15" s="147" t="str"/>
    </x:row>
    <x:row r="16">
      <x:c r="A16" s="145" t="str">
        <x:v>Distance système 1</x:v>
      </x:c>
      <x:c r="B16" s="145" t="str">
        <x:v>O_O1</x:v>
      </x:c>
      <x:c r="C16" s="152" t="n">
        <x:v>0.2</x:v>
      </x:c>
      <x:c r="D16" s="145" t="str">
        <x:v>m</x:v>
      </x:c>
      <x:c r="E16" s="145" t="str">
        <x:v>Moments</x:v>
      </x:c>
      <x:c r="F16" s="145" t="str">
        <x:v>Feuil1!C25</x:v>
      </x:c>
    </x:row>
    <x:row r="17">
      <x:c r="A17" s="145" t="str">
        <x:v>Distance système 2</x:v>
      </x:c>
      <x:c r="B17" s="145" t="str">
        <x:v>O_O2</x:v>
      </x:c>
      <x:c r="C17" s="152" t="n">
        <x:v>0.1</x:v>
      </x:c>
      <x:c r="D17" s="145" t="str">
        <x:v>m</x:v>
      </x:c>
      <x:c r="E17" s="145" t="str">
        <x:v>Moments</x:v>
      </x:c>
      <x:c r="F17" s="145" t="str">
        <x:v>Feuil1!C26</x:v>
      </x:c>
    </x:row>
    <x:row r="18">
      <x:c r="A18" s="145" t="str">
        <x:v>Distance système 3</x:v>
      </x:c>
      <x:c r="B18" s="145" t="str">
        <x:v>O_O3</x:v>
      </x:c>
      <x:c r="C18" s="152" t="n">
        <x:v>0.1</x:v>
      </x:c>
      <x:c r="D18" s="145" t="str">
        <x:v>m</x:v>
      </x:c>
      <x:c r="E18" s="145" t="str">
        <x:v>Moments</x:v>
      </x:c>
      <x:c r="F18" s="145" t="str">
        <x:v>Feuil1!C27</x:v>
      </x:c>
    </x:row>
    <x:row r="19">
      <x:c r="A19" s="145" t="str">
        <x:v>Distance système 4</x:v>
      </x:c>
      <x:c r="B19" s="145" t="str">
        <x:v>O_O4</x:v>
      </x:c>
      <x:c r="C19" s="152" t="n">
        <x:v>0.2</x:v>
      </x:c>
      <x:c r="D19" s="145" t="str">
        <x:v>m</x:v>
      </x:c>
      <x:c r="E19" s="145" t="str">
        <x:v>Moments</x:v>
      </x:c>
      <x:c r="F19" s="145" t="str">
        <x:v>Feuil1!C28</x:v>
      </x:c>
    </x:row>
    <x:row r="20">
      <x:c r="A20" s="145" t="str">
        <x:v>Pression combustion</x:v>
      </x:c>
      <x:c r="B20" s="145" t="str">
        <x:v>p_comb</x:v>
      </x:c>
      <x:c r="C20" s="162" t="n">
        <x:v>15</x:v>
      </x:c>
      <x:c r="D20" s="145" t="str">
        <x:v>MPa</x:v>
      </x:c>
      <x:c r="E20" s="145" t="str">
        <x:v>Bielle</x:v>
      </x:c>
      <x:c r="F20" s="145" t="str">
        <x:v>Feuil1!L20</x:v>
      </x:c>
    </x:row>
    <x:row r="21">
      <x:c r="A21" s="145" t="str">
        <x:v>Section bielle a</x:v>
      </x:c>
      <x:c r="B21" s="145" t="str">
        <x:v>a</x:v>
      </x:c>
      <x:c r="C21" s="162" t="n">
        <x:v>7</x:v>
      </x:c>
      <x:c r="D21" s="145" t="str">
        <x:v>mm</x:v>
      </x:c>
      <x:c r="E21" s="145" t="str">
        <x:v>Bielle</x:v>
      </x:c>
      <x:c r="F21" s="145" t="str">
        <x:v>Feuil1!L21</x:v>
      </x:c>
    </x:row>
    <x:row r="22">
      <x:c r="A22" s="145" t="str">
        <x:v>Section bielle b</x:v>
      </x:c>
      <x:c r="B22" s="145" t="str">
        <x:v>b</x:v>
      </x:c>
      <x:c r="C22" s="162" t="n">
        <x:v>21</x:v>
      </x:c>
      <x:c r="D22" s="145" t="str">
        <x:v>mm</x:v>
      </x:c>
      <x:c r="E22" s="145" t="str">
        <x:v>Bielle</x:v>
      </x:c>
      <x:c r="F22" s="145" t="str">
        <x:v>Feuil1!L22</x:v>
      </x:c>
    </x:row>
    <x:row r="23">
      <x:c r="A23" s="145"/>
      <x:c r="B23" s="145"/>
      <x:c r="C23" s="153"/>
      <x:c r="D23" s="145"/>
      <x:c r="E23" s="145"/>
      <x:c r="F23" s="145"/>
    </x:row>
    <x:row r="24">
      <x:c r="A24" s="148" t="str">
        <x:v>Système d'équilibrage</x:v>
      </x:c>
      <x:c r="B24" s="148" t="str"/>
      <x:c r="C24" s="155" t="str"/>
      <x:c r="D24" s="148" t="str"/>
      <x:c r="E24" s="148" t="str"/>
      <x:c r="F24" s="148" t="str"/>
    </x:row>
    <x:row r="25">
      <x:c r="A25" s="145" t="str">
        <x:v>Masse masselotte 1</x:v>
      </x:c>
      <x:c r="B25" s="145" t="str">
        <x:v>m1</x:v>
      </x:c>
      <x:c r="C25" s="162" t="n">
        <x:v>80</x:v>
      </x:c>
      <x:c r="D25" s="145" t="str">
        <x:v>g</x:v>
      </x:c>
      <x:c r="E25" s="145" t="str">
        <x:v>Équilibrage</x:v>
      </x:c>
      <x:c r="F25" s="145" t="str">
        <x:v>Feuil1!BA3</x:v>
      </x:c>
    </x:row>
    <x:row r="26">
      <x:c r="A26" s="145" t="str">
        <x:v>Masse masselotte 2</x:v>
      </x:c>
      <x:c r="B26" s="145" t="str">
        <x:v>m2</x:v>
      </x:c>
      <x:c r="C26" s="162" t="n">
        <x:v>80</x:v>
      </x:c>
      <x:c r="D26" s="145" t="str">
        <x:v>g</x:v>
      </x:c>
      <x:c r="E26" s="145" t="str">
        <x:v>Équilibrage</x:v>
      </x:c>
      <x:c r="F26" s="145" t="str">
        <x:v>Feuil1!BA4</x:v>
      </x:c>
    </x:row>
    <x:row r="27">
      <x:c r="A27" s="145" t="str">
        <x:v>Phase masselottes</x:v>
      </x:c>
      <x:c r="B27" s="145" t="str">
        <x:v>phy_deg</x:v>
      </x:c>
      <x:c r="C27" s="162" t="n">
        <x:v>110</x:v>
      </x:c>
      <x:c r="D27" s="145" t="str">
        <x:v>deg</x:v>
      </x:c>
      <x:c r="E27" s="145" t="str">
        <x:v>Équilibrage</x:v>
      </x:c>
      <x:c r="F27" s="145" t="str">
        <x:v>Feuil1!AY7</x:v>
      </x:c>
    </x:row>
    <x:row r="28">
      <x:c r="A28" s="145" t="str">
        <x:v>Rapport vitesse masselottes / vilebrequin</x:v>
      </x:c>
      <x:c r="B28" s="145" t="str">
        <x:v>r</x:v>
      </x:c>
      <x:c r="C28" s="162" t="n">
        <x:v>2</x:v>
      </x:c>
      <x:c r="D28" s="145" t="str">
        <x:v>-</x:v>
      </x:c>
      <x:c r="E28" s="145" t="str">
        <x:v>Équilibrage</x:v>
      </x:c>
      <x:c r="F28" s="145" t="str">
        <x:v>Feuil1!AY10</x:v>
      </x:c>
    </x:row>
  </x:sheetData>
  <x:mergeCells>
    <x:mergeCell ref="A1:F2"/>
    <x:mergeCell ref="A3:F3"/>
    <x:mergeCell ref="A5:F5"/>
    <x:mergeCell ref="A15:F15"/>
    <x:mergeCell ref="A24:F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91" t="str">
        <x:v>Analyse d'équilibrage — V4 135°</x:v>
      </x:c>
      <x:c r="B1" s="291"/>
      <x:c r="C1" s="291"/>
      <x:c r="D1" s="291"/>
      <x:c r="E1" s="291"/>
      <x:c r="F1" s="291"/>
      <x:c r="G1" s="291"/>
      <x:c r="H1" s="291"/>
      <x:c r="I1" s="291"/>
      <x:c r="J1" s="291"/>
    </x:row>
    <x:row r="2">
      <x:c r="A2" s="291"/>
      <x:c r="B2" s="291"/>
      <x:c r="C2" s="291"/>
      <x:c r="D2" s="291"/>
      <x:c r="E2" s="291"/>
      <x:c r="F2" s="291"/>
      <x:c r="G2" s="291"/>
      <x:c r="H2" s="291"/>
      <x:c r="I2" s="291"/>
      <x:c r="J2" s="291"/>
    </x:row>
    <x:row r="3">
      <x:c r="A3" s="138" t="str">
        <x:v>Angle [deg]</x:v>
      </x:c>
      <x:c r="B3" s="138" t="str">
        <x:v>Pilon brut [N]</x:v>
      </x:c>
      <x:c r="C3" s="138" t="str">
        <x:v>Force masselottes Y [N]</x:v>
      </x:c>
      <x:c r="D3" s="138" t="str">
        <x:v>Résiduel [N]</x:v>
      </x:c>
      <x:c r="E3" s="138" t="str">
        <x:v>Tamis [N]</x:v>
      </x:c>
      <x:c r="F3" s="138" t="str">
        <x:v>Galop [N·m]</x:v>
      </x:c>
      <x:c r="G3" s="138" t="str">
        <x:v>Lacet [N·m]</x:v>
      </x:c>
      <x:c r="H3" t="str"/>
      <x:c r="I3" t="str"/>
      <x:c r="J3" t="str"/>
    </x:row>
    <x:row r="4">
      <x:c r="A4" s="293" t="n">
        <x:f>Feuil1!A32</x:f>
        <x:v>0</x:v>
      </x:c>
      <x:c r="B4" s="293" t="n">
        <x:f>Feuil1!AF32</x:f>
        <x:v>1147.3031939141547</x:v>
      </x:c>
      <x:c r="C4" s="293" t="n">
        <x:f>Feuil1!BE32</x:f>
        <x:v>-1104.3436011579777</x:v>
      </x:c>
      <x:c r="D4" s="293" t="n">
        <x:f>B4+C4</x:f>
        <x:v>42.95959275617702</x:v>
      </x:c>
      <x:c r="E4" s="293" t="n">
        <x:f>Feuil1!AE32</x:f>
        <x:v>-9.094947017729282e-13</x:v>
      </x:c>
      <x:c r="F4" s="293" t="n">
        <x:f>Feuil1!AS32</x:f>
        <x:v>-5.684341886080802e-14</x:v>
      </x:c>
      <x:c r="G4" s="293" t="n">
        <x:f>Feuil1!AT32</x:f>
        <x:v>2214.2068948523915</x:v>
      </x:c>
    </x:row>
    <x:row r="5">
      <x:c r="A5" s="293" t="n">
        <x:f>Feuil1!A33</x:f>
        <x:v>2</x:v>
      </x:c>
      <x:c r="B5" s="293" t="n">
        <x:f>Feuil1!AF33</x:f>
        <x:v>1144.5084209970373</x:v>
      </x:c>
      <x:c r="C5" s="293" t="n">
        <x:f>Feuil1!BE33</x:f>
        <x:v>-1105.0169014259172</x:v>
      </x:c>
      <x:c r="D5" s="293" t="n">
        <x:f>B5+C5</x:f>
        <x:v>39.49151957112008</x:v>
      </x:c>
      <x:c r="E5" s="293" t="n">
        <x:f>Feuil1!AE33</x:f>
        <x:v>0</x:v>
      </x:c>
      <x:c r="F5" s="293" t="n">
        <x:f>Feuil1!AS33</x:f>
        <x:v>26.45609054871477</x:v>
      </x:c>
      <x:c r="G5" s="293" t="n">
        <x:f>Feuil1!AT33</x:f>
        <x:v>2212.6050663339765</x:v>
      </x:c>
    </x:row>
    <x:row r="6">
      <x:c r="A6" s="293" t="n">
        <x:f>Feuil1!A34</x:f>
        <x:v>4</x:v>
      </x:c>
      <x:c r="B6" s="293" t="n">
        <x:f>Feuil1!AF34</x:f>
        <x:v>1136.137718098405</x:v>
      </x:c>
      <x:c r="C6" s="293" t="n">
        <x:f>Feuil1!BE34</x:f>
        <x:v>-1100.3066704260204</x:v>
      </x:c>
      <x:c r="D6" s="293" t="n">
        <x:f>B6+C6</x:f>
        <x:v>35.83104767238456</x:v>
      </x:c>
      <x:c r="E6" s="293" t="n">
        <x:f>Feuil1!AE34</x:f>
        <x:v>9.094947017729282e-13</x:v>
      </x:c>
      <x:c r="F6" s="293" t="n">
        <x:f>Feuil1!AS34</x:f>
        <x:v>52.879948426344185</x:v>
      </x:c>
      <x:c r="G6" s="293" t="n">
        <x:f>Feuil1!AT34</x:f>
        <x:v>2207.802764918957</x:v>
      </x:c>
    </x:row>
    <x:row r="7">
      <x:c r="A7" s="293" t="n">
        <x:f>Feuil1!A35</x:f>
        <x:v>6</x:v>
      </x:c>
      <x:c r="B7" s="293" t="n">
        <x:f>Feuil1!AF35</x:f>
        <x:v>1122.2318664413629</x:v>
      </x:c>
      <x:c r="C7" s="293" t="n">
        <x:f>Feuil1!BE35</x:f>
        <x:v>-1090.2358559302477</x:v>
      </x:c>
      <x:c r="D7" s="293" t="n">
        <x:f>B7+C7</x:f>
        <x:v>31.996010511115173</x:v>
      </x:c>
      <x:c r="E7" s="293" t="n">
        <x:f>Feuil1!AE35</x:f>
        <x:v>0</x:v>
      </x:c>
      <x:c r="F7" s="293" t="n">
        <x:f>Feuil1!AS35</x:f>
        <x:v>79.23938023234786</x:v>
      </x:c>
      <x:c r="G7" s="293" t="n">
        <x:f>Feuil1!AT35</x:f>
        <x:v>2199.809533143729</x:v>
      </x:c>
    </x:row>
    <x:row r="8">
      <x:c r="A8" s="293" t="n">
        <x:f>Feuil1!A36</x:f>
        <x:v>8</x:v>
      </x:c>
      <x:c r="B8" s="293" t="n">
        <x:f>Feuil1!AF36</x:f>
        <x:v>1102.8586139373706</x:v>
      </x:c>
      <x:c r="C8" s="293" t="n">
        <x:f>Feuil1!BE36</x:f>
        <x:v>-1074.8535219345079</x:v>
      </x:c>
      <x:c r="D8" s="293" t="n">
        <x:f>B8+C8</x:f>
        <x:v>28.00509200286274</x:v>
      </x:c>
      <x:c r="E8" s="293" t="n">
        <x:f>Feuil1!AE36</x:f>
        <x:v>0</x:v>
      </x:c>
      <x:c r="F8" s="293" t="n">
        <x:f>Feuil1!AS36</x:f>
        <x:v>105.50227105942923</x:v>
      </x:c>
      <x:c r="G8" s="293" t="n">
        <x:f>Feuil1!AT36</x:f>
        <x:v>2188.6412423292873</x:v>
      </x:c>
    </x:row>
    <x:row r="9">
      <x:c r="A9" s="293" t="n">
        <x:f>Feuil1!A37</x:f>
        <x:v>10</x:v>
      </x:c>
      <x:c r="B9" s="293" t="n">
        <x:f>Feuil1!AF37</x:f>
        <x:v>1078.1123451252347</x:v>
      </x:c>
      <x:c r="C9" s="293" t="n">
        <x:f>Feuil1!BE37</x:f>
        <x:v>-1054.2346096238011</x:v>
      </x:c>
      <x:c r="D9" s="293" t="n">
        <x:f>B9+C9</x:f>
        <x:v>23.877735501433563</x:v>
      </x:c>
      <x:c r="E9" s="293" t="n">
        <x:f>Feuil1!AE37</x:f>
        <x:v>0</x:v>
      </x:c>
      <x:c r="F9" s="293" t="n">
        <x:f>Feuil1!AS37</x:f>
        <x:v>131.6366236206037</x:v>
      </x:c>
      <x:c r="G9" s="293" t="n">
        <x:f>Feuil1!AT37</x:f>
        <x:v>2174.32004336609</x:v>
      </x:c>
    </x:row>
    <x:row r="10">
      <x:c r="A10" s="293" t="n">
        <x:f>Feuil1!A38</x:f>
        <x:v>12</x:v>
      </x:c>
      <x:c r="B10" s="293" t="n">
        <x:f>Feuil1!AF38</x:f>
        <x:v>1048.1136213391237</x:v>
      </x:c>
      <x:c r="C10" s="293" t="n">
        <x:f>Feuil1!BE38</x:f>
        <x:v>-1028.4795722662996</x:v>
      </x:c>
      <x:c r="D10" s="293" t="n">
        <x:f>B10+C10</x:f>
        <x:v>19.634049072824155</x:v>
      </x:c>
      <x:c r="E10" s="293" t="n">
        <x:f>Feuil1!AE38</x:f>
        <x:v>0</x:v>
      </x:c>
      <x:c r="F10" s="293" t="n">
        <x:f>Feuil1!AS38</x:f>
        <x:v>157.6105972329638</x:v>
      </x:c>
      <x:c r="G10" s="293" t="n">
        <x:f>Feuil1!AT38</x:f>
        <x:v>2156.874298100861</x:v>
      </x:c>
    </x:row>
    <x:row r="11">
      <x:c r="A11" s="293" t="n">
        <x:f>Feuil1!A39</x:f>
        <x:v>14</x:v>
      </x:c>
      <x:c r="B11" s="293" t="n">
        <x:f>Feuil1!AF39</x:f>
        <x:v>1013.0085933458623</x:v>
      </x:c>
      <x:c r="C11" s="293" t="n">
        <x:f>Feuil1!BE39</x:f>
        <x:v>-997.7138858151219</x:v>
      </x:c>
      <x:c r="D11" s="293" t="n">
        <x:f>B11+C11</x:f>
        <x:v>15.294707530740425</x:v>
      </x:c>
      <x:c r="E11" s="293" t="n">
        <x:f>Feuil1!AE39</x:f>
        <x:v>0</x:v>
      </x:c>
      <x:c r="F11" s="293" t="n">
        <x:f>Feuil1!AS39</x:f>
        <x:v>183.392546610647</x:v>
      </x:c>
      <x:c r="G11" s="293" t="n">
        <x:f>Feuil1!AT39</x:f>
        <x:v>2136.3384916117384</x:v>
      </x:c>
    </x:row>
    <x:row r="12">
      <x:c r="A12" s="293" t="n">
        <x:f>Feuil1!A40</x:f>
        <x:v>16</x:v>
      </x:c>
      <x:c r="B12" s="293" t="n">
        <x:f>Feuil1!AF40</x:f>
        <x:v>972.9682893130857</x:v>
      </x:c>
      <x:c r="C12" s="293" t="n">
        <x:f>Feuil1!BE40</x:f>
        <x:v>-962.0874376021023</x:v>
      </x:c>
      <x:c r="D12" s="293" t="n">
        <x:f>B12+C12</x:f>
        <x:v>10.880851710983393</x:v>
      </x:c>
      <x:c r="E12" s="293" t="n">
        <x:f>Feuil1!AE40</x:f>
        <x:v>0</x:v>
      </x:c>
      <x:c r="F12" s="293" t="n">
        <x:f>Feuil1!AS40</x:f>
        <x:v>208.95106041974128</x:v>
      </x:c>
      <x:c r="G12" s="293" t="n">
        <x:f>Feuil1!AT40</x:f>
        <x:v>2112.75312573768</x:v>
      </x:c>
    </x:row>
    <x:row r="13">
      <x:c r="A13" s="293" t="n">
        <x:f>Feuil1!A41</x:f>
        <x:v>18</x:v>
      </x:c>
      <x:c r="B13" s="293" t="n">
        <x:f>Feuil1!AF41</x:f>
        <x:v>928.1877815772064</x:v>
      </x:c>
      <x:c r="C13" s="293" t="n">
        <x:f>Feuil1!BE41</x:f>
        <x:v>-921.7737961017759</x:v>
      </x:c>
      <x:c r="D13" s="293" t="n">
        <x:f>B13+C13</x:f>
        <x:v>6.413985475430422</x:v>
      </x:c>
      <x:c r="E13" s="293" t="n">
        <x:f>Feuil1!AE41</x:f>
        <x:v>0</x:v>
      </x:c>
      <x:c r="F13" s="293" t="n">
        <x:f>Feuil1!AS41</x:f>
        <x:v>234.25499954815768</x:v>
      </x:c>
      <x:c r="G13" s="293" t="n">
        <x:f>Feuil1!AT41</x:f>
        <x:v>2086.1645943058684</x:v>
      </x:c>
    </x:row>
    <x:row r="14">
      <x:c r="A14" s="293" t="n">
        <x:f>Feuil1!A42</x:f>
        <x:v>20</x:v>
      </x:c>
      <x:c r="B14" s="293" t="n">
        <x:f>Feuil1!AF42</x:f>
        <x:v>878.8852362705932</x:v>
      </x:c>
      <x:c r="C14" s="293" t="n">
        <x:f>Feuil1!BE42</x:f>
        <x:v>-876.9693653232197</x:v>
      </x:c>
      <x:c r="D14" s="293" t="n">
        <x:f>B14+C14</x:f>
        <x:v>1.9158709473734916</x:v>
      </x:c>
      <x:c r="E14" s="293" t="n">
        <x:f>Feuil1!AE42</x:f>
        <x:v>0</x:v>
      </x:c>
      <x:c r="F14" s="293" t="n">
        <x:f>Feuil1!AS42</x:f>
        <x:v>259.273535043841</x:v>
      </x:c>
      <x:c r="G14" s="293" t="n">
        <x:f>Feuil1!AT42</x:f>
        <x:v>2056.6250405766095</x:v>
      </x:c>
    </x:row>
    <x:row r="15">
      <x:c r="A15" s="293" t="n">
        <x:f>Feuil1!A43</x:f>
        <x:v>22</x:v>
      </x:c>
      <x:c r="B15" s="293" t="n">
        <x:f>Feuil1!AF43</x:f>
        <x:v>825.3008504381046</x:v>
      </x:c>
      <x:c r="C15" s="293" t="n">
        <x:f>Feuil1!BE43</x:f>
        <x:v>-827.8924279494611</x:v>
      </x:c>
      <x:c r="D15" s="293" t="n">
        <x:f>B15+C15</x:f>
        <x:v>-2.5915775113564905</x:v>
      </x:c>
      <x:c r="E15" s="293" t="n">
        <x:f>Feuil1!AE43</x:f>
        <x:v>0</x:v>
      </x:c>
      <x:c r="F15" s="293" t="n">
        <x:f>Feuil1!AS43</x:f>
        <x:v>283.9761856750998</x:v>
      </x:c>
      <x:c r="G15" s="293" t="n">
        <x:f>Feuil1!AT43</x:f>
        <x:v>2024.192197498534</x:v>
      </x:c>
    </x:row>
    <x:row r="16">
      <x:c r="A16" s="293" t="n">
        <x:f>Feuil1!A44</x:f>
        <x:v>24</x:v>
      </x:c>
      <x:c r="B16" s="293" t="n">
        <x:f>Feuil1!AF44</x:f>
        <x:v>767.6956818212325</x:v>
      </x:c>
      <x:c r="C16" s="293" t="n">
        <x:f>Feuil1!BE44</x:f>
        <x:v>-774.782081886189</x:v>
      </x:c>
      <x:c r="D16" s="293" t="n">
        <x:f>B16+C16</x:f>
        <x:v>-7.086400064956479</x:v>
      </x:c>
      <x:c r="E16" s="293" t="n">
        <x:f>Feuil1!AE44</x:f>
        <x:v>0</x:v>
      </x:c>
      <x:c r="F16" s="293" t="n">
        <x:f>Feuil1!AS44</x:f>
        <x:v>308.33285506729146</x:v>
      </x:c>
      <x:c r="G16" s="293" t="n">
        <x:f>Feuil1!AT44</x:f>
        <x:v>1988.92921143749</x:v>
      </x:c>
    </x:row>
    <x:row r="17">
      <x:c r="A17" s="293" t="n">
        <x:f>Feuil1!A45</x:f>
        <x:v>26</x:v>
      </x:c>
      <x:c r="B17" s="293" t="n">
        <x:f>Feuil1!AF45</x:f>
        <x:v>706.3503770110283</x:v>
      </x:c>
      <x:c r="C17" s="293" t="n">
        <x:f>Feuil1!BE45</x:f>
        <x:v>-717.897075400789</x:v>
      </x:c>
      <x:c r="D17" s="293" t="n">
        <x:f>B17+C17</x:f>
        <x:v>-11.546698389760763</x:v>
      </x:c>
      <x:c r="E17" s="293" t="n">
        <x:f>Feuil1!AE45</x:f>
        <x:v>0</x:v>
      </x:c>
      <x:c r="F17" s="293" t="n">
        <x:f>Feuil1!AS45</x:f>
        <x:v>332.31386837061916</x:v>
      </x:c>
      <x:c r="G17" s="293" t="n">
        <x:f>Feuil1!AT45</x:f>
        <x:v>1950.9044501099766</x:v>
      </x:c>
    </x:row>
    <x:row r="18">
      <x:c r="A18" s="293" t="n">
        <x:f>Feuil1!A46</x:f>
        <x:v>28</x:v>
      </x:c>
      <x:c r="B18" s="293" t="n">
        <x:f>Feuil1!AF46</x:f>
        <x:v>641.5638041661177</x:v>
      </x:c>
      <x:c r="C18" s="293" t="n">
        <x:f>Feuil1!BE46</x:f>
        <x:v>-657.5145465267993</x:v>
      </x:c>
      <x:c r="D18" s="293" t="n">
        <x:f>B18+C18</x:f>
        <x:v>-15.950742360681602</x:v>
      </x:c>
      <x:c r="E18" s="293" t="n">
        <x:f>Feuil1!AE46</x:f>
        <x:v>0</x:v>
      </x:c>
      <x:c r="F18" s="293" t="n">
        <x:f>Feuil1!AS46</x:f>
        <x:v>355.8900084143647</x:v>
      </x:c>
      <x:c r="G18" s="293" t="n">
        <x:f>Feuil1!AT46</x:f>
        <x:v>1910.1912955160308</x:v>
      </x:c>
    </x:row>
    <x:row r="19">
      <x:c r="A19" s="293" t="n">
        <x:f>Feuil1!A47</x:f>
        <x:v>30</x:v>
      </x:c>
      <x:c r="B19" s="293" t="n">
        <x:f>Feuil1!AF47</x:f>
        <x:v>573.6515969570778</x:v>
      </x:c>
      <x:c r="C19" s="293" t="n">
        <x:f>Feuil1!BE47</x:f>
        <x:v>-593.9286728752614</x:v>
      </x:c>
      <x:c r="D19" s="293" t="n">
        <x:f>B19+C19</x:f>
        <x:v>-20.27707591818364</x:v>
      </x:c>
      <x:c r="E19" s="293" t="n">
        <x:f>Feuil1!AE47</x:f>
        <x:v>0</x:v>
      </x:c>
      <x:c r="F19" s="293" t="n">
        <x:f>Feuil1!AS47</x:f>
        <x:v>379.0325513035103</x:v>
      </x:c>
      <x:c r="G19" s="293" t="n">
        <x:f>Feuil1!AT47</x:f>
        <x:v>1866.8679227268572</x:v>
      </x:c>
    </x:row>
    <x:row r="20">
      <x:c r="A20" s="293" t="n">
        <x:f>Feuil1!A48</x:f>
        <x:v>32</x:v>
      </x:c>
      <x:c r="B20" s="293" t="n">
        <x:f>Feuil1!AF48</x:f>
        <x:v>502.9446168309198</x:v>
      </x:c>
      <x:c r="C20" s="293" t="n">
        <x:f>Feuil1!BE48</x:f>
        <x:v>-527.4492384309766</x:v>
      </x:c>
      <x:c r="D20" s="293" t="n">
        <x:f>B20+C20</x:f>
        <x:v>-24.504621600056794</x:v>
      </x:c>
      <x:c r="E20" s="293" t="n">
        <x:f>Feuil1!AE48</x:f>
        <x:v>0</x:v>
      </x:c>
      <x:c r="F20" s="293" t="n">
        <x:f>Feuil1!AS48</x:f>
        <x:v>401.7133014143813</x:v>
      </x:c>
      <x:c r="G20" s="293" t="n">
        <x:f>Feuil1!AT48</x:f>
        <x:v>1821.0170654388598</x:v>
      </x:c>
    </x:row>
    <x:row r="21">
      <x:c r="A21" s="293" t="n">
        <x:f>Feuil1!A49</x:f>
        <x:v>34</x:v>
      </x:c>
      <x:c r="B21" s="293" t="n">
        <x:f>Feuil1!AF49</x:f>
        <x:v>429.7873410873767</x:v>
      </x:c>
      <x:c r="C21" s="293" t="n">
        <x:f>Feuil1!BE49</x:f>
        <x:v>-458.4001243160681</x:v>
      </x:c>
      <x:c r="D21" s="293" t="n">
        <x:f>B21+C21</x:f>
        <x:v>-28.6127832286914</x:v>
      </x:c>
      <x:c r="E21" s="293" t="n">
        <x:f>Feuil1!AE49</x:f>
        <x:v>0</x:v>
      </x:c>
      <x:c r="F21" s="293" t="n">
        <x:f>Feuil1!AS49</x:f>
        <x:v>423.9046257466694</x:v>
      </x:c>
      <x:c r="G21" s="293" t="n">
        <x:f>Feuil1!AT49</x:f>
        <x:v>1772.725769257896</x:v>
      </x:c>
    </x:row>
    <x:row r="22">
      <x:c r="A22" s="293" t="n">
        <x:f>Feuil1!A50</x:f>
        <x:v>36</x:v>
      </x:c>
      <x:c r="B22" s="293" t="n">
        <x:f>Feuil1!AF50</x:f>
        <x:v>354.53618462012946</x:v>
      </x:c>
      <x:c r="C22" s="293" t="n">
        <x:f>Feuil1!BE50</x:f>
        <x:v>-387.11773087371114</x:v>
      </x:c>
      <x:c r="D22" s="293" t="n">
        <x:f>B22+C22</x:f>
        <x:v>-32.58154625358168</x:v>
      </x:c>
      <x:c r="E22" s="293" t="n">
        <x:f>Feuil1!AE50</x:f>
        <x:v>0</x:v>
      </x:c>
      <x:c r="F22" s="293" t="n">
        <x:f>Feuil1!AS50</x:f>
        <x:v>445.57948758998714</x:v>
      </x:c>
      <x:c r="G22" s="293" t="n">
        <x:f>Feuil1!AT50</x:f>
        <x:v>1722.0851337252293</x:v>
      </x:c>
    </x:row>
    <x:row r="23">
      <x:c r="A23" s="293" t="n">
        <x:f>Feuil1!A51</x:f>
        <x:v>38</x:v>
      </x:c>
      <x:c r="B23" s="293" t="n">
        <x:f>Feuil1!AF51</x:f>
        <x:v>277.5577634992651</x:v>
      </x:c>
      <x:c r="C23" s="293" t="n">
        <x:f>Feuil1!BE51</x:f>
        <x:v>-313.9493387594756</x:v>
      </x:c>
      <x:c r="D23" s="293" t="n">
        <x:f>B23+C23</x:f>
        <x:v>-36.391575260210516</x:v>
      </x:c>
      <x:c r="E23" s="293" t="n">
        <x:f>Feuil1!AE51</x:f>
        <x:v>0</x:v>
      </x:c>
      <x:c r="F23" s="293" t="n">
        <x:f>Feuil1!AS51</x:f>
        <x:v>466.7114794639347</x:v>
      </x:c>
      <x:c r="G23" s="293" t="n">
        <x:f>Feuil1!AT51</x:f>
        <x:v>1669.1900441396306</x:v>
      </x:c>
      <x:c r="I23" t="str">
        <x:v>Angle [deg]</x:v>
      </x:c>
      <x:c r="J23" t="str">
        <x:v>Galop [N·m]</x:v>
      </x:c>
      <x:c r="K23" t="str">
        <x:v>Lacet [N·m]</x:v>
      </x:c>
    </x:row>
    <x:row r="24">
      <x:c r="A24" s="293" t="n">
        <x:f>Feuil1!A52</x:f>
        <x:v>40</x:v>
      </x:c>
      <x:c r="B24" s="293" t="n">
        <x:f>Feuil1!AF52</x:f>
        <x:v>199.22710885464176</x:v>
      </x:c>
      <x:c r="C24" s="293" t="n">
        <x:f>Feuil1!BE52</x:f>
        <x:v>-239.25141702488114</x:v>
      </x:c>
      <x:c r="D24" s="293" t="n">
        <x:f>B24+C24</x:f>
        <x:v>-40.02430817023938</x:v>
      </x:c>
      <x:c r="E24" s="293" t="n">
        <x:f>Feuil1!AE52</x:f>
        <x:v>0</x:v>
      </x:c>
      <x:c r="F24" s="293" t="n">
        <x:f>Feuil1!AS52</x:f>
        <x:v>487.27485529154785</x:v>
      </x:c>
      <x:c r="G24" s="293" t="n">
        <x:f>Feuil1!AT52</x:f>
        <x:v>1614.1388942681676</x:v>
      </x:c>
      <x:c r="I24" t="n">
        <x:f>A4</x:f>
        <x:v>0</x:v>
      </x:c>
      <x:c r="J24" t="n">
        <x:f>F4</x:f>
        <x:v>-5.684341886080802e-14</x:v>
      </x:c>
      <x:c r="K24" t="n">
        <x:f>G4</x:f>
        <x:v>2214.2068948523915</x:v>
      </x:c>
    </x:row>
    <x:row r="25">
      <x:c r="A25" s="293" t="n">
        <x:f>Feuil1!A53</x:f>
        <x:v>42</x:v>
      </x:c>
      <x:c r="B25" s="293" t="n">
        <x:f>Feuil1!AF53</x:f>
        <x:v>119.9258397619169</x:v>
      </x:c>
      <x:c r="C25" s="293" t="n">
        <x:f>Feuil1!BE53</x:f>
        <x:v>-163.38788643600975</x:v>
      </x:c>
      <x:c r="D25" s="293" t="n">
        <x:f>B25+C25</x:f>
        <x:v>-43.462046674092846</x:v>
      </x:c>
      <x:c r="E25" s="293" t="n">
        <x:f>Feuil1!AE53</x:f>
        <x:v>0</x:v>
      </x:c>
      <x:c r="F25" s="293" t="n">
        <x:f>Feuil1!AS53</x:f>
        <x:v>507.2445617669258</x:v>
      </x:c>
      <x:c r="G25" s="293" t="n">
        <x:f>Feuil1!AT53</x:f>
        <x:v>1557.0333010712338</x:v>
      </x:c>
      <x:c r="I25" t="n">
        <x:f>A5</x:f>
        <x:v>2</x:v>
      </x:c>
      <x:c r="J25" t="n">
        <x:f>F5</x:f>
        <x:v>26.45609054871477</x:v>
      </x:c>
      <x:c r="K25" t="n">
        <x:f>G5</x:f>
        <x:v>2212.6050663339765</x:v>
      </x:c>
    </x:row>
    <x:row r="26">
      <x:c r="A26" s="293" t="n">
        <x:f>Feuil1!A54</x:f>
        <x:v>44</x:v>
      </x:c>
      <x:c r="B26" s="293" t="n">
        <x:f>Feuil1!AF54</x:f>
        <x:v>40.04030403277602</x:v>
      </x:c>
      <x:c r="C26" s="293" t="n">
        <x:f>Feuil1!BE54</x:f>
        <x:v>-86.72834648811505</x:v>
      </x:c>
      <x:c r="D26" s="293" t="n">
        <x:f>B26+C26</x:f>
        <x:v>-46.68804245533903</x:v>
      </x:c>
      <x:c r="E26" s="293" t="n">
        <x:f>Feuil1!AE54</x:f>
        <x:v>0</x:v>
      </x:c>
      <x:c r="F26" s="293" t="n">
        <x:f>Feuil1!AS54</x:f>
        <x:v>526.5962688788255</x:v>
      </x:c>
      <x:c r="G26" s="293" t="n">
        <x:f>Feuil1!AT54</x:f>
        <x:v>1497.9778125951718</x:v>
      </x:c>
      <x:c r="I26" t="n">
        <x:f>A6</x:f>
        <x:v>4</x:v>
      </x:c>
      <x:c r="J26" t="n">
        <x:f>F6</x:f>
        <x:v>52.879948426344185</x:v>
      </x:c>
      <x:c r="K26" t="n">
        <x:f>G6</x:f>
        <x:v>2207.802764918957</x:v>
      </x:c>
    </x:row>
    <x:row r="27">
      <x:c r="A27" s="293" t="n">
        <x:f>Feuil1!A55</x:f>
        <x:v>46</x:v>
      </x:c>
      <x:c r="B27" s="293" t="n">
        <x:f>Feuil1!AF55</x:f>
        <x:v>-40.04030403277602</x:v>
      </x:c>
      <x:c r="C27" s="293" t="n">
        <x:f>Feuil1!BE55</x:f>
        <x:v>-9.646274754033161</x:v>
      </x:c>
      <x:c r="D27" s="293" t="n">
        <x:f>B27+C27</x:f>
        <x:v>-49.68657878680918</x:v>
      </x:c>
      <x:c r="E27" s="293" t="n">
        <x:f>Feuil1!AE55</x:f>
        <x:v>0</x:v>
      </x:c>
      <x:c r="F27" s="293" t="n">
        <x:f>Feuil1!AS55</x:f>
        <x:v>545.3063995530332</x:v>
      </x:c>
      <x:c r="G27" s="293" t="n">
        <x:f>Feuil1!AT55</x:f>
        <x:v>1437.0796102083425</x:v>
      </x:c>
      <x:c r="I27" t="n">
        <x:f>A7</x:f>
        <x:v>6</x:v>
      </x:c>
      <x:c r="J27" t="n">
        <x:f>F7</x:f>
        <x:v>79.23938023234786</x:v>
      </x:c>
      <x:c r="K27" t="n">
        <x:f>G7</x:f>
        <x:v>2199.809533143729</x:v>
      </x:c>
    </x:row>
    <x:row r="28">
      <x:c r="A28" s="293" t="n">
        <x:f>Feuil1!A56</x:f>
        <x:v>48</x:v>
      </x:c>
      <x:c r="B28" s="293" t="n">
        <x:f>Feuil1!AF56</x:f>
        <x:v>-119.92583976191713</x:v>
      </x:c>
      <x:c r="C28" s="293" t="n">
        <x:f>Feuil1!BE56</x:f>
        <x:v>67.48279266100926</x:v>
      </x:c>
      <x:c r="D28" s="293" t="n">
        <x:f>B28+C28</x:f>
        <x:v>-52.443047100907876</x:v>
      </x:c>
      <x:c r="E28" s="293" t="n">
        <x:f>Feuil1!AE56</x:f>
        <x:v>0</x:v>
      </x:c>
      <x:c r="F28" s="293" t="n">
        <x:f>Feuil1!AS56</x:f>
        <x:v>563.3521583773971</x:v>
      </x:c>
      <x:c r="G28" s="293" t="n">
        <x:f>Feuil1!AT56</x:f>
        <x:v>1374.4482063735313</x:v>
      </x:c>
      <x:c r="I28" t="n">
        <x:f>A8</x:f>
        <x:v>8</x:v>
      </x:c>
      <x:c r="J28" t="n">
        <x:f>F8</x:f>
        <x:v>105.50227105942923</x:v>
      </x:c>
      <x:c r="K28" t="n">
        <x:f>G8</x:f>
        <x:v>2188.6412423292873</x:v>
      </x:c>
    </x:row>
    <x:row r="29">
      <x:c r="A29" s="293" t="n">
        <x:f>Feuil1!A57</x:f>
        <x:v>50</x:v>
      </x:c>
      <x:c r="B29" s="293" t="n">
        <x:f>Feuil1!AF57</x:f>
        <x:v>-199.2271088546413</x:v>
      </x:c>
      <x:c r="C29" s="293" t="n">
        <x:f>Feuil1!BE57</x:f>
        <x:v>144.2830906935548</x:v>
      </x:c>
      <x:c r="D29" s="293" t="n">
        <x:f>B29+C29</x:f>
        <x:v>-54.94401816108649</x:v>
      </x:c>
      <x:c r="E29" s="293" t="n">
        <x:f>Feuil1!AE57</x:f>
        <x:v>0</x:v>
      </x:c>
      <x:c r="F29" s="293" t="n">
        <x:f>Feuil1!AS57</x:f>
        <x:v>580.711559374526</x:v>
      </x:c>
      <x:c r="G29" s="293" t="n">
        <x:f>Feuil1!AT57</x:f>
        <x:v>1310.1951391611371</x:v>
      </x:c>
      <x:c r="I29" t="n">
        <x:f>A9</x:f>
        <x:v>10</x:v>
      </x:c>
      <x:c r="J29" t="n">
        <x:f>F9</x:f>
        <x:v>131.6366236206037</x:v>
      </x:c>
      <x:c r="K29" t="n">
        <x:f>G9</x:f>
        <x:v>2174.32004336609</x:v>
      </x:c>
    </x:row>
    <x:row r="30">
      <x:c r="A30" s="293" t="n">
        <x:f>Feuil1!A58</x:f>
        <x:v>52</x:v>
      </x:c>
      <x:c r="B30" s="293" t="n">
        <x:f>Feuil1!AF58</x:f>
        <x:v>-277.5577634992653</x:v>
      </x:c>
      <x:c r="C30" s="293" t="n">
        <x:f>Feuil1!BE58</x:f>
        <x:v>220.38045601152692</x:v>
      </x:c>
      <x:c r="D30" s="293" t="n">
        <x:f>B30+C30</x:f>
        <x:v>-57.1773074877384</x:v>
      </x:c>
      <x:c r="E30" s="293" t="n">
        <x:f>Feuil1!AE58</x:f>
        <x:v>0</x:v>
      </x:c>
      <x:c r="F30" s="293" t="n">
        <x:f>Feuil1!AS58</x:f>
        <x:v>597.3634527883154</x:v>
      </x:c>
      <x:c r="G30" s="293" t="n">
        <x:f>Feuil1!AT58</x:f>
        <x:v>1244.4336647136058</x:v>
      </x:c>
      <x:c r="I30" t="n">
        <x:f>A10</x:f>
        <x:v>12</x:v>
      </x:c>
      <x:c r="J30" t="n">
        <x:f>F10</x:f>
        <x:v>157.6105972329638</x:v>
      </x:c>
      <x:c r="K30" t="n">
        <x:f>G10</x:f>
        <x:v>2156.874298100861</x:v>
      </x:c>
    </x:row>
    <x:row r="31">
      <x:c r="A31" s="293" t="n">
        <x:f>Feuil1!A59</x:f>
        <x:v>54</x:v>
      </x:c>
      <x:c r="B31" s="293" t="n">
        <x:f>Feuil1!AF59</x:f>
        <x:v>-354.53618462012946</x:v>
      </x:c>
      <x:c r="C31" s="293" t="n">
        <x:f>Feuil1!BE59</x:f>
        <x:v>295.40414990037686</x:v>
      </x:c>
      <x:c r="D31" s="293" t="n">
        <x:f>B31+C31</x:f>
        <x:v>-59.132034719752596</x:v>
      </x:c>
      <x:c r="E31" s="293" t="n">
        <x:f>Feuil1!AE59</x:f>
        <x:v>0</x:v>
      </x:c>
      <x:c r="F31" s="293" t="n">
        <x:f>Feuil1!AS59</x:f>
        <x:v>613.2875508516679</x:v>
      </x:c>
      <x:c r="G31" s="293" t="n">
        <x:f>Feuil1!AT59</x:f>
        <x:v>1177.2784488720276</x:v>
      </x:c>
      <x:c r="I31" t="n">
        <x:f>A11</x:f>
        <x:v>14</x:v>
      </x:c>
      <x:c r="J31" t="n">
        <x:f>F11</x:f>
        <x:v>183.392546610647</x:v>
      </x:c>
      <x:c r="K31" t="n">
        <x:f>G11</x:f>
        <x:v>2136.3384916117384</x:v>
      </x:c>
    </x:row>
    <x:row r="32">
      <x:c r="A32" s="293" t="n">
        <x:f>Feuil1!A60</x:f>
        <x:v>56</x:v>
      </x:c>
      <x:c r="B32" s="293" t="n">
        <x:f>Feuil1!AF60</x:f>
        <x:v>-429.7873410873772</x:v>
      </x:c>
      <x:c r="C32" s="293" t="n">
        <x:f>Feuil1!BE60</x:f>
        <x:v>368.98866446483345</x:v>
      </x:c>
      <x:c r="D32" s="293" t="n">
        <x:f>B32+C32</x:f>
        <x:v>-60.798676622543724</x:v>
      </x:c>
      <x:c r="E32" s="293" t="n">
        <x:f>Feuil1!AE60</x:f>
        <x:v>0</x:v>
      </x:c>
      <x:c r="F32" s="293" t="n">
        <x:f>Feuil1!AS60</x:f>
        <x:v>628.464452504013</x:v>
      </x:c>
      <x:c r="G32" s="293" t="n">
        <x:f>Feuil1!AT60</x:f>
        <x:v>1108.8452591707091</x:v>
      </x:c>
      <x:c r="I32" t="n">
        <x:f>A12</x:f>
        <x:v>16</x:v>
      </x:c>
      <x:c r="J32" t="n">
        <x:f>F12</x:f>
        <x:v>208.95106041974128</x:v>
      </x:c>
      <x:c r="K32" t="n">
        <x:f>G12</x:f>
        <x:v>2112.75312573768</x:v>
      </x:c>
    </x:row>
    <x:row r="33">
      <x:c r="A33" s="293" t="n">
        <x:f>Feuil1!A61</x:f>
        <x:v>58</x:v>
      </x:c>
      <x:c r="B33" s="293" t="n">
        <x:f>Feuil1!AF61</x:f>
        <x:v>-502.9446168309196</x:v>
      </x:c>
      <x:c r="C33" s="293" t="n">
        <x:f>Feuil1!BE61</x:f>
        <x:v>440.7755033466282</x:v>
      </x:c>
      <x:c r="D33" s="293" t="n">
        <x:f>B33+C33</x:f>
        <x:v>-62.16911348429136</x:v>
      </x:c>
      <x:c r="E33" s="293" t="n">
        <x:f>Feuil1!AE61</x:f>
        <x:v>0</x:v>
      </x:c>
      <x:c r="F33" s="293" t="n">
        <x:f>Feuil1!AS61</x:f>
        <x:v>642.8756670285095</x:v>
      </x:c>
      <x:c r="G33" s="293" t="n">
        <x:f>Feuil1!AT61</x:f>
        <x:v>1039.2506583949432</x:v>
      </x:c>
      <x:c r="I33" t="n">
        <x:f>A13</x:f>
        <x:v>18</x:v>
      </x:c>
      <x:c r="J33" t="n">
        <x:f>F13</x:f>
        <x:v>234.25499954815768</x:v>
      </x:c>
      <x:c r="K33" t="n">
        <x:f>G13</x:f>
        <x:v>2086.1645943058684</x:v>
      </x:c>
    </x:row>
    <x:row r="34">
      <x:c r="A34" s="293" t="n">
        <x:f>Feuil1!A62</x:f>
        <x:v>60</x:v>
      </x:c>
      <x:c r="B34" s="293" t="n">
        <x:f>Feuil1!AF62</x:f>
        <x:v>-573.6515969570778</x:v>
      </x:c>
      <x:c r="C34" s="293" t="n">
        <x:f>Feuil1!BE62</x:f>
        <x:v>510.4149282827169</x:v>
      </x:c>
      <x:c r="D34" s="293" t="n">
        <x:f>B34+C34</x:f>
        <x:v>-63.236668674360885</x:v>
      </x:c>
      <x:c r="E34" s="293" t="n">
        <x:f>Feuil1!AE62</x:f>
        <x:v>0</x:v>
      </x:c>
      <x:c r="F34" s="293" t="n">
        <x:f>Feuil1!AS62</x:f>
        <x:v>656.5036365801368</x:v>
      </x:c>
      <x:c r="G34" s="293" t="n">
        <x:f>Feuil1!AT62</x:f>
        <x:v>968.6117008811204</x:v>
      </x:c>
      <x:c r="I34" t="n">
        <x:f>A14</x:f>
        <x:v>20</x:v>
      </x:c>
      <x:c r="J34" t="n">
        <x:f>F14</x:f>
        <x:v>259.273535043841</x:v>
      </x:c>
      <x:c r="K34" t="n">
        <x:f>G14</x:f>
        <x:v>2056.6250405766095</x:v>
      </x:c>
    </x:row>
    <x:row r="35">
      <x:c r="A35" s="293" t="n">
        <x:f>Feuil1!A63</x:f>
        <x:v>62</x:v>
      </x:c>
      <x:c r="B35" s="293" t="n">
        <x:f>Feuil1!AF63</x:f>
        <x:v>-641.5638041661173</x:v>
      </x:c>
      <x:c r="C35" s="293" t="n">
        <x:f>Feuil1!BE63</x:f>
        <x:v>577.5676629949412</x:v>
      </x:c>
      <x:c r="D35" s="293" t="n">
        <x:f>B35+C35</x:f>
        <x:v>-63.99614117117608</x:v>
      </x:c>
      <x:c r="E35" s="293" t="n">
        <x:f>Feuil1!AE63</x:f>
        <x:v>0</x:v>
      </x:c>
      <x:c r="F35" s="293" t="n">
        <x:f>Feuil1!AS63</x:f>
        <x:v>669.3317575772244</x:v>
      </x:c>
      <x:c r="G35" s="293" t="n">
        <x:f>Feuil1!AT63</x:f>
        <x:v>897.045632716907</x:v>
      </x:c>
      <x:c r="I35" t="n">
        <x:f>A15</x:f>
        <x:v>22</x:v>
      </x:c>
      <x:c r="J35" t="n">
        <x:f>F15</x:f>
        <x:v>283.9761856750998</x:v>
      </x:c>
      <x:c r="K35" t="n">
        <x:f>G15</x:f>
        <x:v>2024.192197498534</x:v>
      </x:c>
    </x:row>
    <x:row r="36">
      <x:c r="A36" s="293" t="n">
        <x:f>Feuil1!A64</x:f>
        <x:v>64</x:v>
      </x:c>
      <x:c r="B36" s="293" t="n">
        <x:f>Feuil1!AF64</x:f>
        <x:v>-706.3503770110294</x:v>
      </x:c>
      <x:c r="C36" s="293" t="n">
        <x:f>Feuil1!BE64</x:f>
        <x:v>641.9065461099528</x:v>
      </x:c>
      <x:c r="D36" s="293" t="n">
        <x:f>B36+C36</x:f>
        <x:v>-64.44383090107658</x:v>
      </x:c>
      <x:c r="E36" s="293" t="n">
        <x:f>Feuil1!AE64</x:f>
        <x:v>0</x:v>
      </x:c>
      <x:c r="F36" s="293" t="n">
        <x:f>Feuil1!AS64</x:f>
        <x:v>681.3444009303572</x:v>
      </x:c>
      <x:c r="G36" s="293" t="n">
        <x:f>Feuil1!AT64</x:f>
        <x:v>824.6695969725695</x:v>
      </x:c>
      <x:c r="I36" t="n">
        <x:f>A16</x:f>
        <x:v>24</x:v>
      </x:c>
      <x:c r="J36" t="n">
        <x:f>F16</x:f>
        <x:v>308.33285506729146</x:v>
      </x:c>
      <x:c r="K36" t="n">
        <x:f>G16</x:f>
        <x:v>1988.92921143749</x:v>
      </x:c>
    </x:row>
    <x:row r="37">
      <x:c r="A37" s="293" t="n">
        <x:f>Feuil1!A65</x:f>
        <x:v>66</x:v>
      </x:c>
      <x:c r="B37" s="293" t="n">
        <x:f>Feuil1!AF65</x:f>
        <x:v>-767.6956818212332</x:v>
      </x:c>
      <x:c r="C37" s="293" t="n">
        <x:f>Feuil1!BE65</x:f>
        <x:v>703.1181250565363</x:v>
      </x:c>
      <x:c r="D37" s="293" t="n">
        <x:f>B37+C37</x:f>
        <x:v>-64.57755676469685</x:v>
      </x:c>
      <x:c r="E37" s="293" t="n">
        <x:f>Feuil1!AE65</x:f>
        <x:v>-6.252776074688882e-13</x:v>
      </x:c>
      <x:c r="F37" s="293" t="n">
        <x:f>Feuil1!AS65</x:f>
        <x:v>692.5269310840158</x:v>
      </x:c>
      <x:c r="G37" s="293" t="n">
        <x:f>Feuil1!AT65</x:f>
        <x:v>751.6003450627003</x:v>
      </x:c>
      <x:c r="I37" t="n">
        <x:f>A17</x:f>
        <x:v>26</x:v>
      </x:c>
      <x:c r="J37" t="n">
        <x:f>F17</x:f>
        <x:v>332.31386837061916</x:v>
      </x:c>
      <x:c r="K37" t="n">
        <x:f>G17</x:f>
        <x:v>1950.9044501099766</x:v>
      </x:c>
    </x:row>
    <x:row r="38">
      <x:c r="A38" s="293" t="n">
        <x:f>Feuil1!A66</x:f>
        <x:v>68</x:v>
      </x:c>
      <x:c r="B38" s="293" t="n">
        <x:f>Feuil1!AF66</x:f>
        <x:v>-825.3008504381055</x:v>
      </x:c>
      <x:c r="C38" s="293" t="n">
        <x:f>Feuil1!BE66</x:f>
        <x:v>760.9041831750319</x:v>
      </x:c>
      <x:c r="D38" s="293" t="n">
        <x:f>B38+C38</x:f>
        <x:v>-64.3966672630736</x:v>
      </x:c>
      <x:c r="E38" s="293" t="n">
        <x:f>Feuil1!AE66</x:f>
        <x:v>0</x:v>
      </x:c>
      <x:c r="F38" s="293" t="n">
        <x:f>Feuil1!AS66</x:f>
        <x:v>702.8657238477447</x:v>
      </x:c>
      <x:c r="G38" s="293" t="n">
        <x:f>Feuil1!AT66</x:f>
        <x:v>677.9539553009222</x:v>
      </x:c>
      <x:c r="I38" t="n">
        <x:f>A18</x:f>
        <x:v>28</x:v>
      </x:c>
      <x:c r="J38" t="n">
        <x:f>F18</x:f>
        <x:v>355.8900084143647</x:v>
      </x:c>
      <x:c r="K38" t="n">
        <x:f>G18</x:f>
        <x:v>1910.1912955160308</x:v>
      </x:c>
    </x:row>
    <x:row r="39">
      <x:c r="A39" s="293" t="n">
        <x:f>Feuil1!A67</x:f>
        <x:v>70</x:v>
      </x:c>
      <x:c r="B39" s="293" t="n">
        <x:f>Feuil1!AF67</x:f>
        <x:v>-878.8852362705943</x:v>
      </x:c>
      <x:c r="C39" s="293" t="n">
        <x:f>Feuil1!BE67</x:f>
        <x:v>814.9831925989197</x:v>
      </x:c>
      <x:c r="D39" s="293" t="n">
        <x:f>B39+C39</x:f>
        <x:v>-63.90204367167462</x:v>
      </x:c>
      <x:c r="E39" s="293" t="n">
        <x:f>Feuil1!AE67</x:f>
        <x:v>6.252776074688882e-13</x:v>
      </x:c>
      <x:c r="F39" s="293" t="n">
        <x:f>Feuil1!AS67</x:f>
        <x:v>712.3481829951297</x:v>
      </x:c>
      <x:c r="G39" s="293" t="n">
        <x:f>Feuil1!AT67</x:f>
        <x:v>603.845559668633</x:v>
      </x:c>
      <x:c r="I39" t="n">
        <x:f>A19</x:f>
        <x:v>30</x:v>
      </x:c>
      <x:c r="J39" t="n">
        <x:f>F19</x:f>
        <x:v>379.0325513035103</x:v>
      </x:c>
      <x:c r="K39" t="n">
        <x:f>G19</x:f>
        <x:v>1866.8679227268572</x:v>
      </x:c>
    </x:row>
    <x:row r="40">
      <x:c r="A40" s="293" t="n">
        <x:f>Feuil1!A68</x:f>
        <x:v>72</x:v>
      </x:c>
      <x:c r="B40" s="293" t="n">
        <x:f>Feuil1!AF68</x:f>
        <x:v>-928.1877815772075</x:v>
      </x:c>
      <x:c r="C40" s="293" t="n">
        <x:f>Feuil1!BE68</x:f>
        <x:v>865.0916858302896</x:v>
      </x:c>
      <x:c r="D40" s="293" t="n">
        <x:f>B40+C40</x:f>
        <x:v>-63.096095746917854</x:v>
      </x:c>
      <x:c r="E40" s="293" t="n">
        <x:f>Feuil1!AE68</x:f>
        <x:v>-2.8421709430404007e-13</x:v>
      </x:c>
      <x:c r="F40" s="293" t="n">
        <x:f>Feuil1!AS68</x:f>
        <x:v>720.9627556103612</x:v>
      </x:c>
      <x:c r="G40" s="293" t="n">
        <x:f>Feuil1!AT68</x:f>
        <x:v>529.3890797728407</x:v>
      </x:c>
      <x:c r="I40" t="n">
        <x:f>A20</x:f>
        <x:v>32</x:v>
      </x:c>
      <x:c r="J40" t="n">
        <x:f>F20</x:f>
        <x:v>401.7133014143813</x:v>
      </x:c>
      <x:c r="K40" t="n">
        <x:f>G20</x:f>
        <x:v>1821.0170654388598</x:v>
      </x:c>
    </x:row>
    <x:row r="41">
      <x:c r="A41" s="293" t="n">
        <x:f>Feuil1!A69</x:f>
        <x:v>74</x:v>
      </x:c>
      <x:c r="B41" s="293" t="n">
        <x:f>Feuil1!AF69</x:f>
        <x:v>-972.9682893130855</x:v>
      </x:c>
      <x:c r="C41" s="293" t="n">
        <x:f>Feuil1!BE69</x:f>
        <x:v>910.9855393270066</x:v>
      </x:c>
      <x:c r="D41" s="293" t="n">
        <x:f>B41+C41</x:f>
        <x:v>-61.98274998607894</x:v>
      </x:c>
      <x:c r="E41" s="293" t="n">
        <x:f>Feuil1!AE69</x:f>
        <x:v>0</x:v>
      </x:c>
      <x:c r="F41" s="293" t="n">
        <x:f>Feuil1!AS69</x:f>
        <x:v>728.6989461636805</x:v>
      </x:c>
      <x:c r="G41" s="293" t="n">
        <x:f>Feuil1!AT69</x:f>
        <x:v>454.6969729177887</x:v>
      </x:c>
      <x:c r="I41" t="n">
        <x:f>A21</x:f>
        <x:v>34</x:v>
      </x:c>
      <x:c r="J41" t="n">
        <x:f>F21</x:f>
        <x:v>423.9046257466694</x:v>
      </x:c>
      <x:c r="K41" t="n">
        <x:f>G21</x:f>
        <x:v>1772.725769257896</x:v>
      </x:c>
    </x:row>
    <x:row r="42">
      <x:c r="A42" s="293" t="n">
        <x:f>Feuil1!A70</x:f>
        <x:v>76</x:v>
      </x:c>
      <x:c r="B42" s="293" t="n">
        <x:f>Feuil1!AF70</x:f>
        <x:v>-1013.0085933458606</x:v>
      </x:c>
      <x:c r="C42" s="293" t="n">
        <x:f>Feuil1!BE70</x:f>
        <x:v>952.4411628480685</x:v>
      </x:c>
      <x:c r="D42" s="293" t="n">
        <x:f>B42+C42</x:f>
        <x:v>-60.56743049779209</x:v>
      </x:c>
      <x:c r="E42" s="293" t="n">
        <x:f>Feuil1!AE70</x:f>
        <x:v>0</x:v>
      </x:c>
      <x:c r="F42" s="293" t="n">
        <x:f>Feuil1!AS70</x:f>
        <x:v>735.5473292985669</x:v>
      </x:c>
      <x:c r="G42" s="293" t="n">
        <x:f>Feuil1!AT70</x:f>
        <x:v>379.87998916064805</x:v>
      </x:c>
      <x:c r="I42" t="n">
        <x:f>A22</x:f>
        <x:v>36</x:v>
      </x:c>
      <x:c r="J42" t="n">
        <x:f>F22</x:f>
        <x:v>445.57948758998714</x:v>
      </x:c>
      <x:c r="K42" t="n">
        <x:f>G22</x:f>
        <x:v>1722.0851337252293</x:v>
      </x:c>
    </x:row>
    <x:row r="43">
      <x:c r="A43" s="293" t="n">
        <x:f>Feuil1!A71</x:f>
        <x:v>78</x:v>
      </x:c>
      <x:c r="B43" s="293" t="n">
        <x:f>Feuil1!AF71</x:f>
        <x:v>-1048.1136213391248</x:v>
      </x:c>
      <x:c r="C43" s="293" t="n">
        <x:f>Feuil1!BE71</x:f>
        <x:v>989.2565887627857</x:v>
      </x:c>
      <x:c r="D43" s="293" t="n">
        <x:f>B43+C43</x:f>
        <x:v>-58.85703257633918</x:v>
      </x:c>
      <x:c r="E43" s="293" t="n">
        <x:f>Feuil1!AE71</x:f>
        <x:v>0</x:v>
      </x:c>
      <x:c r="F43" s="293" t="n">
        <x:f>Feuil1!AS71</x:f>
        <x:v>741.4995613150833</x:v>
      </x:c>
      <x:c r="G43" s="293" t="n">
        <x:f>Feuil1!AT71</x:f>
        <x:v>305.04694016336595</x:v>
      </x:c>
      <x:c r="I43" t="n">
        <x:f>A23</x:f>
        <x:v>38</x:v>
      </x:c>
      <x:c r="J43" t="n">
        <x:f>F23</x:f>
        <x:v>466.7114794639347</x:v>
      </x:c>
      <x:c r="K43" t="n">
        <x:f>G23</x:f>
        <x:v>1669.1900441396306</x:v>
      </x:c>
    </x:row>
    <x:row r="44">
      <x:c r="A44" s="293" t="n">
        <x:f>Feuil1!A72</x:f>
        <x:v>80</x:v>
      </x:c>
      <x:c r="B44" s="293" t="n">
        <x:f>Feuil1!AF72</x:f>
        <x:v>-1078.1123451252354</x:v>
      </x:c>
      <x:c r="C44" s="293" t="n">
        <x:f>Feuil1!BE72</x:f>
        <x:v>1021.252456016775</x:v>
      </x:c>
      <x:c r="D44" s="293" t="n">
        <x:f>B44+C44</x:f>
        <x:v>-56.85988910846038</x:v>
      </x:c>
      <x:c r="E44" s="293" t="n">
        <x:f>Feuil1!AE72</x:f>
        <x:v>0</x:v>
      </x:c>
      <x:c r="F44" s="293" t="n">
        <x:f>Feuil1!AS72</x:f>
        <x:v>746.548390335389</x:v>
      </x:c>
      <x:c r="G44" s="293" t="n">
        <x:f>Feuil1!AT72</x:f>
        <x:v>230.30448059104728</x:v>
      </x:c>
      <x:c r="I44" t="n">
        <x:f>A24</x:f>
        <x:v>40</x:v>
      </x:c>
      <x:c r="J44" t="n">
        <x:f>F24</x:f>
        <x:v>487.27485529154785</x:v>
      </x:c>
      <x:c r="K44" t="n">
        <x:f>G24</x:f>
        <x:v>1614.1388942681676</x:v>
      </x:c>
    </x:row>
    <x:row r="45">
      <x:c r="A45" s="293" t="n">
        <x:f>Feuil1!A73</x:f>
        <x:v>82</x:v>
      </x:c>
      <x:c r="B45" s="293" t="n">
        <x:f>Feuil1!AF73</x:f>
        <x:v>-1102.8586139373685</x:v>
      </x:c>
      <x:c r="C45" s="293" t="n">
        <x:f>Feuil1!BE73</x:f>
        <x:v>1048.2728839609886</x:v>
      </x:c>
      <x:c r="D45" s="293" t="n">
        <x:f>B45+C45</x:f>
        <x:v>-54.58572997637998</x:v>
      </x:c>
      <x:c r="E45" s="293" t="n">
        <x:f>Feuil1!AE73</x:f>
        <x:v>0</x:v>
      </x:c>
      <x:c r="F45" s="293" t="n">
        <x:f>Feuil1!AS73</x:f>
        <x:v>750.6876651390346</x:v>
      </x:c>
      <x:c r="G45" s="293" t="n">
        <x:f>Feuil1!AT73</x:f>
        <x:v>155.75690274233176</x:v>
      </x:c>
      <x:c r="I45" t="n">
        <x:f>A25</x:f>
        <x:v>42</x:v>
      </x:c>
      <x:c r="J45" t="n">
        <x:f>F25</x:f>
        <x:v>507.2445617669258</x:v>
      </x:c>
      <x:c r="K45" t="n">
        <x:f>G25</x:f>
        <x:v>1557.0333010712338</x:v>
      </x:c>
    </x:row>
    <x:row r="46">
      <x:c r="A46" s="293" t="n">
        <x:f>Feuil1!A74</x:f>
        <x:v>84</x:v>
      </x:c>
      <x:c r="B46" s="293" t="n">
        <x:f>Feuil1!AF74</x:f>
        <x:v>-1122.2318664413624</x:v>
      </x:c>
      <x:c r="C46" s="293" t="n">
        <x:f>Feuil1!BE74</x:f>
        <x:v>1070.1862317865655</x:v>
      </x:c>
      <x:c r="D46" s="293" t="n">
        <x:f>B46+C46</x:f>
        <x:v>-52.04563465479691</x:v>
      </x:c>
      <x:c r="E46" s="293" t="n">
        <x:f>Feuil1!AE74</x:f>
        <x:v>0</x:v>
      </x:c>
      <x:c r="F46" s="293" t="n">
        <x:f>Feuil1!AS74</x:f>
        <x:v>753.9123426572787</x:v>
      </x:c>
      <x:c r="G46" s="293" t="n">
        <x:f>Feuil1!AT74</x:f>
        <x:v>81.50594502945256</x:v>
      </x:c>
      <x:c r="I46" t="n">
        <x:f>A26</x:f>
        <x:v>44</x:v>
      </x:c>
      <x:c r="J46" t="n">
        <x:f>F26</x:f>
        <x:v>526.5962688788255</x:v>
      </x:c>
      <x:c r="K46" t="n">
        <x:f>G26</x:f>
        <x:v>1497.9778125951718</x:v>
      </x:c>
    </x:row>
    <x:row r="47">
      <x:c r="A47" s="293" t="n">
        <x:f>Feuil1!A75</x:f>
        <x:v>86</x:v>
      </x:c>
      <x:c r="B47" s="293" t="n">
        <x:f>Feuil1!AF75</x:f>
        <x:v>-1136.1377180984061</x:v>
      </x:c>
      <x:c r="C47" s="293" t="n">
        <x:f>Feuil1!BE75</x:f>
        <x:v>1086.8857398656228</x:v>
      </x:c>
      <x:c r="D47" s="293" t="n">
        <x:f>B47+C47</x:f>
        <x:v>-49.25197823278336</x:v>
      </x:c>
      <x:c r="E47" s="293" t="n">
        <x:f>Feuil1!AE75</x:f>
        <x:v>0</x:v>
      </x:c>
      <x:c r="F47" s="293" t="n">
        <x:f>Feuil1!AS75</x:f>
        <x:v>756.2184941172886</x:v>
      </x:c>
      <x:c r="G47" s="293" t="n">
        <x:f>Feuil1!AT75</x:f>
        <x:v>7.650614855343321</x:v>
      </x:c>
      <x:c r="I47" t="n">
        <x:f>A27</x:f>
        <x:v>46</x:v>
      </x:c>
      <x:c r="J47" t="n">
        <x:f>F27</x:f>
        <x:v>545.3063995530332</x:v>
      </x:c>
      <x:c r="K47" t="n">
        <x:f>G27</x:f>
        <x:v>1437.0796102083425</x:v>
      </x:c>
    </x:row>
    <x:row r="48">
      <x:c r="A48" s="293" t="n">
        <x:f>Feuil1!A76</x:f>
        <x:v>88</x:v>
      </x:c>
      <x:c r="B48" s="293" t="n">
        <x:f>Feuil1!AF76</x:f>
        <x:v>-1144.5084209970378</x:v>
      </x:c>
      <x:c r="C48" s="293" t="n">
        <x:f>Feuil1!BE76</x:f>
        <x:v>1098.290049873427</x:v>
      </x:c>
      <x:c r="D48" s="293" t="n">
        <x:f>B48+C48</x:f>
        <x:v>-46.21837112361072</x:v>
      </x:c>
      <x:c r="E48" s="293" t="n">
        <x:f>Feuil1!AE76</x:f>
        <x:v>0</x:v>
      </x:c>
      <x:c r="F48" s="293" t="n">
        <x:f>Feuil1!AS76</x:f>
        <x:v>757.603309828746</x:v>
      </x:c>
      <x:c r="G48" s="293" t="n">
        <x:f>Feuil1!AT76</x:f>
        <x:v>-65.71297363737992</x:v>
      </x:c>
      <x:c r="I48" t="n">
        <x:f>A28</x:f>
        <x:v>48</x:v>
      </x:c>
      <x:c r="J48" t="n">
        <x:f>F28</x:f>
        <x:v>563.3521583773971</x:v>
      </x:c>
      <x:c r="K48" t="n">
        <x:f>G28</x:f>
        <x:v>1374.4482063735313</x:v>
      </x:c>
    </x:row>
    <x:row r="49">
      <x:c r="A49" s="293" t="n">
        <x:f>Feuil1!A77</x:f>
        <x:v>90</x:v>
      </x:c>
      <x:c r="B49" s="293" t="n">
        <x:f>Feuil1!AF77</x:f>
        <x:v>-1147.3031939141554</x:v>
      </x:c>
      <x:c r="C49" s="293" t="n">
        <x:f>Feuil1!BE77</x:f>
        <x:v>1104.3436011579777</x:v>
      </x:c>
      <x:c r="D49" s="293" t="n">
        <x:f>B49+C49</x:f>
        <x:v>-42.9595927561777</x:v>
      </x:c>
      <x:c r="E49" s="293" t="n">
        <x:f>Feuil1!AE77</x:f>
        <x:v>0</x:v>
      </x:c>
      <x:c r="F49" s="293" t="n">
        <x:f>Feuil1!AS77</x:f>
        <x:v>758.0651026070207</x:v>
      </x:c>
      <x:c r="G49" s="293" t="n">
        <x:f>Feuil1!AT77</x:f>
        <x:v>-138.49174654507578</x:v>
      </x:c>
      <x:c r="I49" t="n">
        <x:f>A29</x:f>
        <x:v>50</x:v>
      </x:c>
      <x:c r="J49" t="n">
        <x:f>F29</x:f>
        <x:v>580.711559374526</x:v>
      </x:c>
      <x:c r="K49" t="n">
        <x:f>G29</x:f>
        <x:v>1310.1951391611371</x:v>
      </x:c>
    </x:row>
    <x:row r="50">
      <x:c r="A50" s="293" t="n">
        <x:f>Feuil1!A78</x:f>
        <x:v>92</x:v>
      </x:c>
      <x:c r="B50" s="293" t="n">
        <x:f>Feuil1!AF78</x:f>
        <x:v>-1144.5084209970353</x:v>
      </x:c>
      <x:c r="C50" s="293" t="n">
        <x:f>Feuil1!BE78</x:f>
        <x:v>1105.0169014259172</x:v>
      </x:c>
      <x:c r="D50" s="293" t="n">
        <x:f>B50+C50</x:f>
        <x:v>-39.49151957111803</x:v>
      </x:c>
      <x:c r="E50" s="293" t="n">
        <x:f>Feuil1!AE78</x:f>
        <x:v>0</x:v>
      </x:c>
      <x:c r="F50" s="293" t="n">
        <x:f>Feuil1!AS78</x:f>
        <x:v>757.6033098287461</x:v>
      </x:c>
      <x:c r="G50" s="293" t="n">
        <x:f>Feuil1!AT78</x:f>
        <x:v>-210.59580158474546</x:v>
      </x:c>
      <x:c r="I50" t="n">
        <x:f>A30</x:f>
        <x:v>52</x:v>
      </x:c>
      <x:c r="J50" t="n">
        <x:f>F30</x:f>
        <x:v>597.3634527883154</x:v>
      </x:c>
      <x:c r="K50" t="n">
        <x:f>G30</x:f>
        <x:v>1244.4336647136058</x:v>
      </x:c>
    </x:row>
    <x:row r="51">
      <x:c r="A51" s="293" t="n">
        <x:f>Feuil1!A79</x:f>
        <x:v>94</x:v>
      </x:c>
      <x:c r="B51" s="293" t="n">
        <x:f>Feuil1!AF79</x:f>
        <x:v>-1136.1377180984057</x:v>
      </x:c>
      <x:c r="C51" s="293" t="n">
        <x:f>Feuil1!BE79</x:f>
        <x:v>1100.3066704260204</x:v>
      </x:c>
      <x:c r="D51" s="293" t="n">
        <x:f>B51+C51</x:f>
        <x:v>-35.83104767238524</x:v>
      </x:c>
      <x:c r="E51" s="293" t="n">
        <x:f>Feuil1!AE79</x:f>
        <x:v>0</x:v>
      </x:c>
      <x:c r="F51" s="293" t="n">
        <x:f>Feuil1!AS79</x:f>
        <x:v>756.2184941172887</x:v>
      </x:c>
      <x:c r="G51" s="293" t="n">
        <x:f>Feuil1!AT79</x:f>
        <x:v>-281.93852363102184</x:v>
      </x:c>
      <x:c r="I51" t="n">
        <x:f>A31</x:f>
        <x:v>54</x:v>
      </x:c>
      <x:c r="J51" t="n">
        <x:f>F31</x:f>
        <x:v>613.2875508516679</x:v>
      </x:c>
      <x:c r="K51" t="n">
        <x:f>G31</x:f>
        <x:v>1177.2784488720276</x:v>
      </x:c>
    </x:row>
    <x:row r="52">
      <x:c r="A52" s="293" t="n">
        <x:f>Feuil1!A80</x:f>
        <x:v>96</x:v>
      </x:c>
      <x:c r="B52" s="293" t="n">
        <x:f>Feuil1!AF80</x:f>
        <x:v>-1122.2318664413638</x:v>
      </x:c>
      <x:c r="C52" s="293" t="n">
        <x:f>Feuil1!BE80</x:f>
        <x:v>1090.2358559302477</x:v>
      </x:c>
      <x:c r="D52" s="293" t="n">
        <x:f>B52+C52</x:f>
        <x:v>-31.996010511116083</x:v>
      </x:c>
      <x:c r="E52" s="293" t="n">
        <x:f>Feuil1!AE80</x:f>
        <x:v>0</x:v>
      </x:c>
      <x:c r="F52" s="293" t="n">
        <x:f>Feuil1!AS80</x:f>
        <x:v>753.9123426572787</x:v>
      </x:c>
      <x:c r="G52" s="293" t="n">
        <x:f>Feuil1!AT80</x:f>
        <x:v>-352.43668423845315</x:v>
      </x:c>
      <x:c r="I52" t="n">
        <x:f>A32</x:f>
        <x:v>56</x:v>
      </x:c>
      <x:c r="J52" t="n">
        <x:f>F32</x:f>
        <x:v>628.464452504013</x:v>
      </x:c>
      <x:c r="K52" t="n">
        <x:f>G32</x:f>
        <x:v>1108.8452591707091</x:v>
      </x:c>
    </x:row>
    <x:row r="53">
      <x:c r="A53" s="293" t="n">
        <x:f>Feuil1!A81</x:f>
        <x:v>98</x:v>
      </x:c>
      <x:c r="B53" s="293" t="n">
        <x:f>Feuil1!AF81</x:f>
        <x:v>-1102.8586139373701</x:v>
      </x:c>
      <x:c r="C53" s="293" t="n">
        <x:f>Feuil1!BE81</x:f>
        <x:v>1074.8535219345076</x:v>
      </x:c>
      <x:c r="D53" s="293" t="n">
        <x:f>B53+C53</x:f>
        <x:v>-28.00509200286251</x:v>
      </x:c>
      <x:c r="E53" s="293" t="n">
        <x:f>Feuil1!AE81</x:f>
        <x:v>0</x:v>
      </x:c>
      <x:c r="F53" s="293" t="n">
        <x:f>Feuil1!AS81</x:f>
        <x:v>750.6876651390348</x:v>
      </x:c>
      <x:c r="G53" s="293" t="n">
        <x:f>Feuil1!AT81</x:f>
        <x:v>-422.01052505709083</x:v>
      </x:c>
      <x:c r="I53" t="n">
        <x:f>A33</x:f>
        <x:v>58</x:v>
      </x:c>
      <x:c r="J53" t="n">
        <x:f>F33</x:f>
        <x:v>642.8756670285095</x:v>
      </x:c>
      <x:c r="K53" t="n">
        <x:f>G33</x:f>
        <x:v>1039.2506583949432</x:v>
      </x:c>
    </x:row>
    <x:row r="54">
      <x:c r="A54" s="293" t="n">
        <x:f>Feuil1!A82</x:f>
        <x:v>100</x:v>
      </x:c>
      <x:c r="B54" s="293" t="n">
        <x:f>Feuil1!AF82</x:f>
        <x:v>-1078.112345125236</x:v>
      </x:c>
      <x:c r="C54" s="293" t="n">
        <x:f>Feuil1!BE82</x:f>
        <x:v>1054.234609623801</x:v>
      </x:c>
      <x:c r="D54" s="293" t="n">
        <x:f>B54+C54</x:f>
        <x:v>-23.877735501435154</x:v>
      </x:c>
      <x:c r="E54" s="293" t="n">
        <x:f>Feuil1!AE82</x:f>
        <x:v>0</x:v>
      </x:c>
      <x:c r="F54" s="293" t="n">
        <x:f>Feuil1!AS82</x:f>
        <x:v>746.548390335389</x:v>
      </x:c>
      <x:c r="G54" s="293" t="n">
        <x:f>Feuil1!AT82</x:f>
        <x:v>-490.58382512736733</x:v>
      </x:c>
      <x:c r="I54" t="n">
        <x:f>A34</x:f>
        <x:v>60</x:v>
      </x:c>
      <x:c r="J54" t="n">
        <x:f>F34</x:f>
        <x:v>656.5036365801368</x:v>
      </x:c>
      <x:c r="K54" t="n">
        <x:f>G34</x:f>
        <x:v>968.6117008811204</x:v>
      </x:c>
    </x:row>
    <x:row r="55">
      <x:c r="A55" s="293" t="n">
        <x:f>Feuil1!A83</x:f>
        <x:v>102</x:v>
      </x:c>
      <x:c r="B55" s="293" t="n">
        <x:f>Feuil1!AF83</x:f>
        <x:v>-1048.113621339126</x:v>
      </x:c>
      <x:c r="C55" s="293" t="n">
        <x:f>Feuil1!BE83</x:f>
        <x:v>1028.4795722663</x:v>
      </x:c>
      <x:c r="D55" s="293" t="n">
        <x:f>B55+C55</x:f>
        <x:v>-19.634049072825974</x:v>
      </x:c>
      <x:c r="E55" s="293" t="n">
        <x:f>Feuil1!AE83</x:f>
        <x:v>0</x:v>
      </x:c>
      <x:c r="F55" s="293" t="n">
        <x:f>Feuil1!AS83</x:f>
        <x:v>741.4995613150834</x:v>
      </x:c>
      <x:c r="G55" s="293" t="n">
        <x:f>Feuil1!AT83</x:f>
        <x:v>-558.0839521178539</x:v>
      </x:c>
      <x:c r="I55" t="n">
        <x:f>A35</x:f>
        <x:v>62</x:v>
      </x:c>
      <x:c r="J55" t="n">
        <x:f>F35</x:f>
        <x:v>669.3317575772244</x:v>
      </x:c>
      <x:c r="K55" t="n">
        <x:f>G35</x:f>
        <x:v>897.045632716907</x:v>
      </x:c>
    </x:row>
    <x:row r="56">
      <x:c r="A56" s="293" t="n">
        <x:f>Feuil1!A84</x:f>
        <x:v>104</x:v>
      </x:c>
      <x:c r="B56" s="293" t="n">
        <x:f>Feuil1!AF84</x:f>
        <x:v>-1013.0085933458621</x:v>
      </x:c>
      <x:c r="C56" s="293" t="n">
        <x:f>Feuil1!BE84</x:f>
        <x:v>997.7138858151221</x:v>
      </x:c>
      <x:c r="D56" s="293" t="n">
        <x:f>B56+C56</x:f>
        <x:v>-15.29470753073997</x:v>
      </x:c>
      <x:c r="E56" s="293" t="n">
        <x:f>Feuil1!AE84</x:f>
        <x:v>0</x:v>
      </x:c>
      <x:c r="F56" s="293" t="n">
        <x:f>Feuil1!AS84</x:f>
        <x:v>735.547329298567</x:v>
      </x:c>
      <x:c r="G56" s="293" t="n">
        <x:f>Feuil1!AT84</x:f>
        <x:v>-624.4418976462546</x:v>
      </x:c>
      <x:c r="I56" t="n">
        <x:f>A36</x:f>
        <x:v>64</x:v>
      </x:c>
      <x:c r="J56" t="n">
        <x:f>F36</x:f>
        <x:v>681.3444009303572</x:v>
      </x:c>
      <x:c r="K56" t="n">
        <x:f>G36</x:f>
        <x:v>824.6695969725695</x:v>
      </x:c>
    </x:row>
    <x:row r="57">
      <x:c r="A57" s="293" t="n">
        <x:f>Feuil1!A85</x:f>
        <x:v>106</x:v>
      </x:c>
      <x:c r="B57" s="293" t="n">
        <x:f>Feuil1!AF85</x:f>
        <x:v>-972.9682893130846</x:v>
      </x:c>
      <x:c r="C57" s="293" t="n">
        <x:f>Feuil1!BE85</x:f>
        <x:v>962.0874376021023</x:v>
      </x:c>
      <x:c r="D57" s="293" t="n">
        <x:f>B57+C57</x:f>
        <x:v>-10.880851710982256</x:v>
      </x:c>
      <x:c r="E57" s="293" t="n">
        <x:f>Feuil1!AE85</x:f>
        <x:v>0</x:v>
      </x:c>
      <x:c r="F57" s="293" t="n">
        <x:f>Feuil1!AS85</x:f>
        <x:v>728.6989461636804</x:v>
      </x:c>
      <x:c r="G57" s="293" t="n">
        <x:f>Feuil1!AT85</x:f>
        <x:v>-689.592296899649</x:v>
      </x:c>
      <x:c r="I57" t="n">
        <x:f>A37</x:f>
        <x:v>66</x:v>
      </x:c>
      <x:c r="J57" t="n">
        <x:f>F37</x:f>
        <x:v>692.5269310840158</x:v>
      </x:c>
      <x:c r="K57" t="n">
        <x:f>G37</x:f>
        <x:v>751.6003450627003</x:v>
      </x:c>
    </x:row>
    <x:row r="58">
      <x:c r="A58" s="293" t="n">
        <x:f>Feuil1!A86</x:f>
        <x:v>108</x:v>
      </x:c>
      <x:c r="B58" s="293" t="n">
        <x:f>Feuil1!AF86</x:f>
        <x:v>-928.1877815772076</x:v>
      </x:c>
      <x:c r="C58" s="293" t="n">
        <x:f>Feuil1!BE86</x:f>
        <x:v>921.773796101776</x:v>
      </x:c>
      <x:c r="D58" s="293" t="n">
        <x:f>B58+C58</x:f>
        <x:v>-6.413985475431559</x:v>
      </x:c>
      <x:c r="E58" s="293" t="n">
        <x:f>Feuil1!AE86</x:f>
        <x:v>0</x:v>
      </x:c>
      <x:c r="F58" s="293" t="n">
        <x:f>Feuil1!AS86</x:f>
        <x:v>720.9627556103612</x:v>
      </x:c>
      <x:c r="G58" s="293" t="n">
        <x:f>Feuil1!AT86</x:f>
        <x:v>-753.4734328441091</x:v>
      </x:c>
      <x:c r="I58" t="n">
        <x:f>A38</x:f>
        <x:v>68</x:v>
      </x:c>
      <x:c r="J58" t="n">
        <x:f>F38</x:f>
        <x:v>702.8657238477447</x:v>
      </x:c>
      <x:c r="K58" t="n">
        <x:f>G38</x:f>
        <x:v>677.9539553009222</x:v>
      </x:c>
    </x:row>
    <x:row r="59">
      <x:c r="A59" s="293" t="n">
        <x:f>Feuil1!A87</x:f>
        <x:v>110</x:v>
      </x:c>
      <x:c r="B59" s="293" t="n">
        <x:f>Feuil1!AF87</x:f>
        <x:v>-878.8852362705954</x:v>
      </x:c>
      <x:c r="C59" s="293" t="n">
        <x:f>Feuil1!BE87</x:f>
        <x:v>876.9693653232198</x:v>
      </x:c>
      <x:c r="D59" s="293" t="n">
        <x:f>B59+C59</x:f>
        <x:v>-1.9158709473756517</x:v>
      </x:c>
      <x:c r="E59" s="293" t="n">
        <x:f>Feuil1!AE87</x:f>
        <x:v>0</x:v>
      </x:c>
      <x:c r="F59" s="293" t="n">
        <x:f>Feuil1!AS87</x:f>
        <x:v>712.3481829951297</x:v>
      </x:c>
      <x:c r="G59" s="293" t="n">
        <x:f>Feuil1!AT87</x:f>
        <x:v>-816.0272253860268</x:v>
      </x:c>
      <x:c r="I59" t="n">
        <x:f>A39</x:f>
        <x:v>70</x:v>
      </x:c>
      <x:c r="J59" t="n">
        <x:f>F39</x:f>
        <x:v>712.3481829951297</x:v>
      </x:c>
      <x:c r="K59" t="n">
        <x:f>G39</x:f>
        <x:v>603.845559668633</x:v>
      </x:c>
    </x:row>
    <x:row r="60">
      <x:c r="A60" s="293" t="n">
        <x:f>Feuil1!A88</x:f>
        <x:v>112</x:v>
      </x:c>
      <x:c r="B60" s="293" t="n">
        <x:f>Feuil1!AF88</x:f>
        <x:v>-825.3008504381052</x:v>
      </x:c>
      <x:c r="C60" s="293" t="n">
        <x:f>Feuil1!BE88</x:f>
        <x:v>827.8924279494612</x:v>
      </x:c>
      <x:c r="D60" s="293" t="n">
        <x:f>B60+C60</x:f>
        <x:v>2.5915775113560358</x:v>
      </x:c>
      <x:c r="E60" s="293" t="n">
        <x:f>Feuil1!AE88</x:f>
        <x:v>0</x:v>
      </x:c>
      <x:c r="F60" s="293" t="n">
        <x:f>Feuil1!AS88</x:f>
        <x:v>702.8657238477446</x:v>
      </x:c>
      <x:c r="G60" s="293" t="n">
        <x:f>Feuil1!AT88</x:f>
        <x:v>-877.1992059174943</x:v>
      </x:c>
      <x:c r="I60" t="n">
        <x:f>A40</x:f>
        <x:v>72</x:v>
      </x:c>
      <x:c r="J60" t="n">
        <x:f>F40</x:f>
        <x:v>720.9627556103612</x:v>
      </x:c>
      <x:c r="K60" t="n">
        <x:f>G40</x:f>
        <x:v>529.3890797728407</x:v>
      </x:c>
    </x:row>
    <x:row r="61">
      <x:c r="A61" s="293" t="n">
        <x:f>Feuil1!A89</x:f>
        <x:v>114</x:v>
      </x:c>
      <x:c r="B61" s="293" t="n">
        <x:f>Feuil1!AF89</x:f>
        <x:v>-767.6956818212315</x:v>
      </x:c>
      <x:c r="C61" s="293" t="n">
        <x:f>Feuil1!BE89</x:f>
        <x:v>774.7820818861887</x:v>
      </x:c>
      <x:c r="D61" s="293" t="n">
        <x:f>B61+C61</x:f>
        <x:v>7.0864000649572745</x:v>
      </x:c>
      <x:c r="E61" s="293" t="n">
        <x:f>Feuil1!AE89</x:f>
        <x:v>0</x:v>
      </x:c>
      <x:c r="F61" s="293" t="n">
        <x:f>Feuil1!AS89</x:f>
        <x:v>692.5269310840158</x:v>
      </x:c>
      <x:c r="G61" s="293" t="n">
        <x:f>Feuil1!AT89</x:f>
        <x:v>-936.9384777455086</x:v>
      </x:c>
      <x:c r="I61" t="n">
        <x:f>A41</x:f>
        <x:v>74</x:v>
      </x:c>
      <x:c r="J61" t="n">
        <x:f>F41</x:f>
        <x:v>728.6989461636805</x:v>
      </x:c>
      <x:c r="K61" t="n">
        <x:f>G41</x:f>
        <x:v>454.6969729177887</x:v>
      </x:c>
    </x:row>
    <x:row r="62">
      <x:c r="A62" s="293" t="n">
        <x:f>Feuil1!A90</x:f>
        <x:v>116</x:v>
      </x:c>
      <x:c r="B62" s="293" t="n">
        <x:f>Feuil1!AF90</x:f>
        <x:v>-706.3503770110289</x:v>
      </x:c>
      <x:c r="C62" s="293" t="n">
        <x:f>Feuil1!BE90</x:f>
        <x:v>717.8970754007892</x:v>
      </x:c>
      <x:c r="D62" s="293" t="n">
        <x:f>B62+C62</x:f>
        <x:v>11.546698389760309</x:v>
      </x:c>
      <x:c r="E62" s="293" t="n">
        <x:f>Feuil1!AE90</x:f>
        <x:v>0</x:v>
      </x:c>
      <x:c r="F62" s="293" t="n">
        <x:f>Feuil1!AS90</x:f>
        <x:v>681.3444009303572</x:v>
      </x:c>
      <x:c r="G62" s="293" t="n">
        <x:f>Feuil1!AT90</x:f>
        <x:v>-995.1976629693067</x:v>
      </x:c>
      <x:c r="I62" t="n">
        <x:f>A42</x:f>
        <x:v>76</x:v>
      </x:c>
      <x:c r="J62" t="n">
        <x:f>F42</x:f>
        <x:v>735.5473292985669</x:v>
      </x:c>
      <x:c r="K62" t="n">
        <x:f>G42</x:f>
        <x:v>379.87998916064805</x:v>
      </x:c>
    </x:row>
    <x:row r="63">
      <x:c r="A63" s="293" t="n">
        <x:f>Feuil1!A91</x:f>
        <x:v>118</x:v>
      </x:c>
      <x:c r="B63" s="293" t="n">
        <x:f>Feuil1!AF91</x:f>
        <x:v>-641.563804166118</x:v>
      </x:c>
      <x:c r="C63" s="293" t="n">
        <x:f>Feuil1!BE91</x:f>
        <x:v>657.5145465267985</x:v>
      </x:c>
      <x:c r="D63" s="293" t="n">
        <x:f>B63+C63</x:f>
        <x:v>15.950742360680579</x:v>
      </x:c>
      <x:c r="E63" s="293" t="n">
        <x:f>Feuil1!AE91</x:f>
        <x:v>0</x:v>
      </x:c>
      <x:c r="F63" s="293" t="n">
        <x:f>Feuil1!AS91</x:f>
        <x:v>669.3317575772245</x:v>
      </x:c>
      <x:c r="G63" s="293" t="n">
        <x:f>Feuil1!AT91</x:f>
        <x:v>-1051.9328364314576</x:v>
      </x:c>
      <x:c r="I63" t="n">
        <x:f>A43</x:f>
        <x:v>78</x:v>
      </x:c>
      <x:c r="J63" t="n">
        <x:f>F43</x:f>
        <x:v>741.4995613150833</x:v>
      </x:c>
      <x:c r="K63" t="n">
        <x:f>G43</x:f>
        <x:v>305.04694016336595</x:v>
      </x:c>
    </x:row>
    <x:row r="64">
      <x:c r="A64" s="293" t="n">
        <x:f>Feuil1!A92</x:f>
        <x:v>120</x:v>
      </x:c>
      <x:c r="B64" s="293" t="n">
        <x:f>Feuil1!AF92</x:f>
        <x:v>-573.6515969570768</x:v>
      </x:c>
      <x:c r="C64" s="293" t="n">
        <x:f>Feuil1!BE92</x:f>
        <x:v>593.9286728752616</x:v>
      </x:c>
      <x:c r="D64" s="293" t="n">
        <x:f>B64+C64</x:f>
        <x:v>20.277075918184778</x:v>
      </x:c>
      <x:c r="E64" s="293" t="n">
        <x:f>Feuil1!AE92</x:f>
        <x:v>0</x:v>
      </x:c>
      <x:c r="F64" s="293" t="n">
        <x:f>Feuil1!AS92</x:f>
        <x:v>656.5036365801369</x:v>
      </x:c>
      <x:c r="G64" s="293" t="n">
        <x:f>Feuil1!AT92</x:f>
        <x:v>-1107.1034474261958</x:v>
      </x:c>
      <x:c r="I64" t="n">
        <x:f>A44</x:f>
        <x:v>80</x:v>
      </x:c>
      <x:c r="J64" t="n">
        <x:f>F44</x:f>
        <x:v>746.548390335389</x:v>
      </x:c>
      <x:c r="K64" t="n">
        <x:f>G44</x:f>
        <x:v>230.30448059104728</x:v>
      </x:c>
    </x:row>
    <x:row r="65">
      <x:c r="A65" s="293" t="n">
        <x:f>Feuil1!A93</x:f>
        <x:v>122</x:v>
      </x:c>
      <x:c r="B65" s="293" t="n">
        <x:f>Feuil1!AF93</x:f>
        <x:v>-502.9446168309199</x:v>
      </x:c>
      <x:c r="C65" s="293" t="n">
        <x:f>Feuil1!BE93</x:f>
        <x:v>527.4492384309767</x:v>
      </x:c>
      <x:c r="D65" s="293" t="n">
        <x:f>B65+C65</x:f>
        <x:v>24.504621600056794</x:v>
      </x:c>
      <x:c r="E65" s="293" t="n">
        <x:f>Feuil1!AE93</x:f>
        <x:v>0</x:v>
      </x:c>
      <x:c r="F65" s="293" t="n">
        <x:f>Feuil1!AS93</x:f>
        <x:v>642.8756670285096</x:v>
      </x:c>
      <x:c r="G65" s="293" t="n">
        <x:f>Feuil1!AT93</x:f>
        <x:v>-1160.6722299025173</x:v>
      </x:c>
      <x:c r="I65" t="n">
        <x:f>A45</x:f>
        <x:v>82</x:v>
      </x:c>
      <x:c r="J65" t="n">
        <x:f>F45</x:f>
        <x:v>750.6876651390346</x:v>
      </x:c>
      <x:c r="K65" t="n">
        <x:f>G45</x:f>
        <x:v>155.75690274233176</x:v>
      </x:c>
    </x:row>
    <x:row r="66">
      <x:c r="A66" s="293" t="n">
        <x:f>Feuil1!A94</x:f>
        <x:v>124</x:v>
      </x:c>
      <x:c r="B66" s="293" t="n">
        <x:f>Feuil1!AF94</x:f>
        <x:v>-429.7873410873792</x:v>
      </x:c>
      <x:c r="C66" s="293" t="n">
        <x:f>Feuil1!BE94</x:f>
        <x:v>458.40012431606823</x:v>
      </x:c>
      <x:c r="D66" s="293" t="n">
        <x:f>B66+C66</x:f>
        <x:v>28.61278322868901</x:v>
      </x:c>
      <x:c r="E66" s="293" t="n">
        <x:f>Feuil1!AE94</x:f>
        <x:v>0</x:v>
      </x:c>
      <x:c r="F66" s="293" t="n">
        <x:f>Feuil1!AS94</x:f>
        <x:v>628.4644525040133</x:v>
      </x:c>
      <x:c r="G66" s="293" t="n">
        <x:f>Feuil1!AT94</x:f>
        <x:v>-1212.60510194965</x:v>
      </x:c>
      <x:c r="I66" t="n">
        <x:f>A46</x:f>
        <x:v>84</x:v>
      </x:c>
      <x:c r="J66" t="n">
        <x:f>F46</x:f>
        <x:v>753.9123426572787</x:v>
      </x:c>
      <x:c r="K66" t="n">
        <x:f>G46</x:f>
        <x:v>81.50594502945256</x:v>
      </x:c>
    </x:row>
    <x:row r="67">
      <x:c r="A67" s="293" t="n">
        <x:f>Feuil1!A95</x:f>
        <x:v>126</x:v>
      </x:c>
      <x:c r="B67" s="293" t="n">
        <x:f>Feuil1!AF95</x:f>
        <x:v>-354.5361846201305</x:v>
      </x:c>
      <x:c r="C67" s="293" t="n">
        <x:f>Feuil1!BE95</x:f>
        <x:v>387.11773087371125</x:v>
      </x:c>
      <x:c r="D67" s="293" t="n">
        <x:f>B67+C67</x:f>
        <x:v>32.58154625358077</x:v>
      </x:c>
      <x:c r="E67" s="293" t="n">
        <x:f>Feuil1!AE95</x:f>
        <x:v>0</x:v>
      </x:c>
      <x:c r="F67" s="293" t="n">
        <x:f>Feuil1!AS95</x:f>
        <x:v>613.287550851668</x:v>
      </x:c>
      <x:c r="G67" s="293" t="n">
        <x:f>Feuil1!AT95</x:f>
        <x:v>-1262.8710553982198</x:v>
      </x:c>
      <x:c r="I67" t="n">
        <x:f>A47</x:f>
        <x:v>86</x:v>
      </x:c>
      <x:c r="J67" t="n">
        <x:f>F47</x:f>
        <x:v>756.2184941172886</x:v>
      </x:c>
      <x:c r="K67" t="n">
        <x:f>G47</x:f>
        <x:v>7.650614855343321</x:v>
      </x:c>
    </x:row>
    <x:row r="68">
      <x:c r="A68" s="293" t="n">
        <x:f>Feuil1!A96</x:f>
        <x:v>128</x:v>
      </x:c>
      <x:c r="B68" s="293" t="n">
        <x:f>Feuil1!AF96</x:f>
        <x:v>-277.5577634992643</x:v>
      </x:c>
      <x:c r="C68" s="293" t="n">
        <x:f>Feuil1!BE96</x:f>
        <x:v>313.9493387594757</x:v>
      </x:c>
      <x:c r="D68" s="293" t="n">
        <x:f>B68+C68</x:f>
        <x:v>36.391575260211425</x:v>
      </x:c>
      <x:c r="E68" s="293" t="n">
        <x:f>Feuil1!AE96</x:f>
        <x:v>0</x:v>
      </x:c>
      <x:c r="F68" s="293" t="n">
        <x:f>Feuil1!AS96</x:f>
        <x:v>597.3634527883153</x:v>
      </x:c>
      <x:c r="G68" s="293" t="n">
        <x:f>Feuil1!AT96</x:f>
        <x:v>-1311.4420364117932</x:v>
      </x:c>
      <x:c r="I68" t="n">
        <x:f>A48</x:f>
        <x:v>88</x:v>
      </x:c>
      <x:c r="J68" t="n">
        <x:f>F48</x:f>
        <x:v>757.603309828746</x:v>
      </x:c>
      <x:c r="K68" t="n">
        <x:f>G48</x:f>
        <x:v>-65.71297363737992</x:v>
      </x:c>
    </x:row>
    <x:row r="69">
      <x:c r="A69" s="293" t="n">
        <x:f>Feuil1!A97</x:f>
        <x:v>130</x:v>
      </x:c>
      <x:c r="B69" s="293" t="n">
        <x:f>Feuil1!AF97</x:f>
        <x:v>-199.2271088546422</x:v>
      </x:c>
      <x:c r="C69" s="293" t="n">
        <x:f>Feuil1!BE97</x:f>
        <x:v>239.25141702488125</x:v>
      </x:c>
      <x:c r="D69" s="293" t="n">
        <x:f>B69+C69</x:f>
        <x:v>40.02430817023904</x:v>
      </x:c>
      <x:c r="E69" s="293" t="n">
        <x:f>Feuil1!AE97</x:f>
        <x:v>0</x:v>
      </x:c>
      <x:c r="F69" s="293" t="n">
        <x:f>Feuil1!AS97</x:f>
        <x:v>580.711559374526</x:v>
      </x:c>
      <x:c r="G69" s="293" t="n">
        <x:f>Feuil1!AT97</x:f>
        <x:v>-1358.2928179800629</x:v>
      </x:c>
      <x:c r="I69" t="n">
        <x:f>A49</x:f>
        <x:v>90</x:v>
      </x:c>
      <x:c r="J69" t="n">
        <x:f>F49</x:f>
        <x:v>758.0651026070207</x:v>
      </x:c>
      <x:c r="K69" t="n">
        <x:f>G49</x:f>
        <x:v>-138.49174654507578</x:v>
      </x:c>
    </x:row>
    <x:row r="70">
      <x:c r="A70" s="293" t="n">
        <x:f>Feuil1!A98</x:f>
        <x:v>132</x:v>
      </x:c>
      <x:c r="B70" s="293" t="n">
        <x:f>Feuil1!AF98</x:f>
        <x:v>-119.92583976191929</x:v>
      </x:c>
      <x:c r="C70" s="293" t="n">
        <x:f>Feuil1!BE98</x:f>
        <x:v>163.3878864360099</x:v>
      </x:c>
      <x:c r="D70" s="293" t="n">
        <x:f>B70+C70</x:f>
        <x:v>43.4620466740906</x:v>
      </x:c>
      <x:c r="E70" s="293" t="n">
        <x:f>Feuil1!AE98</x:f>
        <x:v>0</x:v>
      </x:c>
      <x:c r="F70" s="293" t="n">
        <x:f>Feuil1!AS98</x:f>
        <x:v>563.3521583773975</x:v>
      </x:c>
      <x:c r="G70" s="293" t="n">
        <x:f>Feuil1!AT98</x:f>
        <x:v>-1403.4008652567513</x:v>
      </x:c>
      <x:c r="I70" t="n">
        <x:f>A50</x:f>
        <x:v>92</x:v>
      </x:c>
      <x:c r="J70" t="n">
        <x:f>F50</x:f>
        <x:v>757.6033098287461</x:v>
      </x:c>
      <x:c r="K70" t="n">
        <x:f>G50</x:f>
        <x:v>-210.59580158474546</x:v>
      </x:c>
    </x:row>
    <x:row r="71">
      <x:c r="A71" s="293" t="n">
        <x:f>Feuil1!A99</x:f>
        <x:v>134</x:v>
      </x:c>
      <x:c r="B71" s="293" t="n">
        <x:f>Feuil1!AF99</x:f>
        <x:v>-40.04030403277852</x:v>
      </x:c>
      <x:c r="C71" s="293" t="n">
        <x:f>Feuil1!BE99</x:f>
        <x:v>86.72834648811519</x:v>
      </x:c>
      <x:c r="D71" s="293" t="n">
        <x:f>B71+C71</x:f>
        <x:v>46.68804245533667</x:v>
      </x:c>
      <x:c r="E71" s="293" t="n">
        <x:f>Feuil1!AE99</x:f>
        <x:v>0</x:v>
      </x:c>
      <x:c r="F71" s="293" t="n">
        <x:f>Feuil1!AS99</x:f>
        <x:v>545.3063995530335</x:v>
      </x:c>
      <x:c r="G71" s="293" t="n">
        <x:f>Feuil1!AT99</x:f>
        <x:v>-1446.7461947120883</x:v>
      </x:c>
      <x:c r="I71" t="n">
        <x:f>A51</x:f>
        <x:v>94</x:v>
      </x:c>
      <x:c r="J71" t="n">
        <x:f>F51</x:f>
        <x:v>756.2184941172887</x:v>
      </x:c>
      <x:c r="K71" t="n">
        <x:f>G51</x:f>
        <x:v>-281.93852363102184</x:v>
      </x:c>
    </x:row>
    <x:row r="72">
      <x:c r="A72" s="293" t="n">
        <x:f>Feuil1!A100</x:f>
        <x:v>136</x:v>
      </x:c>
      <x:c r="B72" s="293" t="n">
        <x:f>Feuil1!AF100</x:f>
        <x:v>40.04030403277466</x:v>
      </x:c>
      <x:c r="C72" s="293" t="n">
        <x:f>Feuil1!BE100</x:f>
        <x:v>9.646274754033298</x:v>
      </x:c>
      <x:c r="D72" s="293" t="n">
        <x:f>B72+C72</x:f>
        <x:v>49.68657878680796</x:v>
      </x:c>
      <x:c r="E72" s="293" t="n">
        <x:f>Feuil1!AE100</x:f>
        <x:v>0</x:v>
      </x:c>
      <x:c r="F72" s="293" t="n">
        <x:f>Feuil1!AS100</x:f>
        <x:v>526.5962688788255</x:v>
      </x:c>
      <x:c r="G72" s="293" t="n">
        <x:f>Feuil1!AT100</x:f>
        <x:v>-1488.3112280914243</x:v>
      </x:c>
      <x:c r="I72" t="n">
        <x:f>A52</x:f>
        <x:v>96</x:v>
      </x:c>
      <x:c r="J72" t="n">
        <x:f>F52</x:f>
        <x:v>753.9123426572787</x:v>
      </x:c>
      <x:c r="K72" t="n">
        <x:f>G52</x:f>
        <x:v>-352.43668423845315</x:v>
      </x:c>
    </x:row>
    <x:row r="73">
      <x:c r="A73" s="293" t="n">
        <x:f>Feuil1!A101</x:f>
        <x:v>138</x:v>
      </x:c>
      <x:c r="B73" s="293" t="n">
        <x:f>Feuil1!AF101</x:f>
        <x:v>119.92583976191725</x:v>
      </x:c>
      <x:c r="C73" s="293" t="n">
        <x:f>Feuil1!BE101</x:f>
        <x:v>-67.48279266100911</x:v>
      </x:c>
      <x:c r="D73" s="293" t="n">
        <x:f>B73+C73</x:f>
        <x:v>52.44304710090813</x:v>
      </x:c>
      <x:c r="E73" s="293" t="n">
        <x:f>Feuil1!AE101</x:f>
        <x:v>0</x:v>
      </x:c>
      <x:c r="F73" s="293" t="n">
        <x:f>Feuil1!AS101</x:f>
        <x:v>507.2445617669258</x:v>
      </x:c>
      <x:c r="G73" s="293" t="n">
        <x:f>Feuil1!AT101</x:f>
        <x:v>-1528.0806421880134</x:v>
      </x:c>
      <x:c r="I73" t="n">
        <x:f>A53</x:f>
        <x:v>98</x:v>
      </x:c>
      <x:c r="J73" t="n">
        <x:f>F53</x:f>
        <x:v>750.6876651390348</x:v>
      </x:c>
      <x:c r="K73" t="n">
        <x:f>G53</x:f>
        <x:v>-422.01052505709083</x:v>
      </x:c>
    </x:row>
    <x:row r="74">
      <x:c r="A74" s="293" t="n">
        <x:f>Feuil1!A102</x:f>
        <x:v>140</x:v>
      </x:c>
      <x:c r="B74" s="293" t="n">
        <x:f>Feuil1!AF102</x:f>
        <x:v>199.22710885464096</x:v>
      </x:c>
      <x:c r="C74" s="293" t="n">
        <x:f>Feuil1!BE102</x:f>
        <x:v>-144.28309069355467</x:v>
      </x:c>
      <x:c r="D74" s="293" t="n">
        <x:f>B74+C74</x:f>
        <x:v>54.94401816108629</x:v>
      </x:c>
      <x:c r="E74" s="293" t="n">
        <x:f>Feuil1!AE102</x:f>
        <x:v>0</x:v>
      </x:c>
      <x:c r="F74" s="293" t="n">
        <x:f>Feuil1!AS102</x:f>
        <x:v>487.2748552915481</x:v>
      </x:c>
      <x:c r="G74" s="293" t="n">
        <x:f>Feuil1!AT102</x:f>
        <x:v>-1566.0412154492415</x:v>
      </x:c>
      <x:c r="I74" t="n">
        <x:f>A54</x:f>
        <x:v>100</x:v>
      </x:c>
      <x:c r="J74" t="n">
        <x:f>F54</x:f>
        <x:v>746.548390335389</x:v>
      </x:c>
      <x:c r="K74" t="n">
        <x:f>G54</x:f>
        <x:v>-490.58382512736733</x:v>
      </x:c>
    </x:row>
    <x:row r="75">
      <x:c r="A75" s="293" t="n">
        <x:f>Feuil1!A103</x:f>
        <x:v>142</x:v>
      </x:c>
      <x:c r="B75" s="293" t="n">
        <x:f>Feuil1!AF103</x:f>
        <x:v>277.5577634992635</x:v>
      </x:c>
      <x:c r="C75" s="293" t="n">
        <x:f>Feuil1!BE103</x:f>
        <x:v>-220.3804560115268</x:v>
      </x:c>
      <x:c r="D75" s="293" t="n">
        <x:f>B75+C75</x:f>
        <x:v>57.1773074877367</x:v>
      </x:c>
      <x:c r="E75" s="293" t="n">
        <x:f>Feuil1!AE103</x:f>
        <x:v>0</x:v>
      </x:c>
      <x:c r="F75" s="293" t="n">
        <x:f>Feuil1!AS103</x:f>
        <x:v>466.7114794639351</x:v>
      </x:c>
      <x:c r="G75" s="293" t="n">
        <x:f>Feuil1!AT103</x:f>
        <x:v>-1602.1816724414425</x:v>
      </x:c>
      <x:c r="I75" t="n">
        <x:f>A55</x:f>
        <x:v>102</x:v>
      </x:c>
      <x:c r="J75" t="n">
        <x:f>F55</x:f>
        <x:v>741.4995613150834</x:v>
      </x:c>
      <x:c r="K75" t="n">
        <x:f>G55</x:f>
        <x:v>-558.0839521178539</x:v>
      </x:c>
    </x:row>
    <x:row r="76">
      <x:c r="A76" s="293" t="n">
        <x:f>Feuil1!A104</x:f>
        <x:v>144</x:v>
      </x:c>
      <x:c r="B76" s="293" t="n">
        <x:f>Feuil1!AF104</x:f>
        <x:v>354.53618462012946</x:v>
      </x:c>
      <x:c r="C76" s="293" t="n">
        <x:f>Feuil1!BE104</x:f>
        <x:v>-295.40414990037766</x:v>
      </x:c>
      <x:c r="D76" s="293" t="n">
        <x:f>B76+C76</x:f>
        <x:v>59.1320347197518</x:v>
      </x:c>
      <x:c r="E76" s="293" t="n">
        <x:f>Feuil1!AE104</x:f>
        <x:v>0</x:v>
      </x:c>
      <x:c r="F76" s="293" t="n">
        <x:f>Feuil1!AS104</x:f>
        <x:v>445.5794875899872</x:v>
      </x:c>
      <x:c r="G76" s="293" t="n">
        <x:f>Feuil1!AT104</x:f>
        <x:v>-1636.4925271990364</x:v>
      </x:c>
      <x:c r="I76" t="n">
        <x:f>A56</x:f>
        <x:v>104</x:v>
      </x:c>
      <x:c r="J76" t="n">
        <x:f>F56</x:f>
        <x:v>735.547329298567</x:v>
      </x:c>
      <x:c r="K76" t="n">
        <x:f>G56</x:f>
        <x:v>-624.4418976462546</x:v>
      </x:c>
    </x:row>
    <x:row r="77">
      <x:c r="A77" s="293" t="n">
        <x:f>Feuil1!A105</x:f>
        <x:v>146</x:v>
      </x:c>
      <x:c r="B77" s="293" t="n">
        <x:f>Feuil1!AF105</x:f>
        <x:v>429.7873410873758</x:v>
      </x:c>
      <x:c r="C77" s="293" t="n">
        <x:f>Feuil1!BE105</x:f>
        <x:v>-368.98866446483333</x:v>
      </x:c>
      <x:c r="D77" s="293" t="n">
        <x:f>B77+C77</x:f>
        <x:v>60.79867662254247</x:v>
      </x:c>
      <x:c r="E77" s="293" t="n">
        <x:f>Feuil1!AE105</x:f>
        <x:v>0</x:v>
      </x:c>
      <x:c r="F77" s="293" t="n">
        <x:f>Feuil1!AS105</x:f>
        <x:v>423.9046257466696</x:v>
      </x:c>
      <x:c r="G77" s="293" t="n">
        <x:f>Feuil1!AT105</x:f>
        <x:v>-1668.965926478954</x:v>
      </x:c>
      <x:c r="I77" t="n">
        <x:f>A57</x:f>
        <x:v>106</x:v>
      </x:c>
      <x:c r="J77" t="n">
        <x:f>F57</x:f>
        <x:v>728.6989461636804</x:v>
      </x:c>
      <x:c r="K77" t="n">
        <x:f>G57</x:f>
        <x:v>-689.592296899649</x:v>
      </x:c>
    </x:row>
    <x:row r="78">
      <x:c r="A78" s="293" t="n">
        <x:f>Feuil1!A106</x:f>
        <x:v>148</x:v>
      </x:c>
      <x:c r="B78" s="293" t="n">
        <x:f>Feuil1!AF106</x:f>
        <x:v>502.94461683091674</x:v>
      </x:c>
      <x:c r="C78" s="293" t="n">
        <x:f>Feuil1!BE106</x:f>
        <x:v>-440.77550334662715</x:v>
      </x:c>
      <x:c r="D78" s="293" t="n">
        <x:f>B78+C78</x:f>
        <x:v>62.169113484289596</x:v>
      </x:c>
      <x:c r="E78" s="293" t="n">
        <x:f>Feuil1!AE106</x:f>
        <x:v>0</x:v>
      </x:c>
      <x:c r="F78" s="293" t="n">
        <x:f>Feuil1!AS106</x:f>
        <x:v>401.7133014143816</x:v>
      </x:c>
      <x:c r="G78" s="293" t="n">
        <x:f>Feuil1!AT106</x:f>
        <x:v>-1699.5954939312846</x:v>
      </x:c>
      <x:c r="I78" t="n">
        <x:f>A58</x:f>
        <x:v>108</x:v>
      </x:c>
      <x:c r="J78" t="n">
        <x:f>F58</x:f>
        <x:v>720.9627556103612</x:v>
      </x:c>
      <x:c r="K78" t="n">
        <x:f>G58</x:f>
        <x:v>-753.4734328441091</x:v>
      </x:c>
    </x:row>
    <x:row r="79">
      <x:c r="A79" s="293" t="n">
        <x:f>Feuil1!A107</x:f>
        <x:v>150</x:v>
      </x:c>
      <x:c r="B79" s="293" t="n">
        <x:f>Feuil1!AF107</x:f>
        <x:v>573.651596957076</x:v>
      </x:c>
      <x:c r="C79" s="293" t="n">
        <x:f>Feuil1!BE107</x:f>
        <x:v>-510.41492828271674</x:v>
      </x:c>
      <x:c r="D79" s="293" t="n">
        <x:f>B79+C79</x:f>
        <x:v>63.23666867435924</x:v>
      </x:c>
      <x:c r="E79" s="293" t="n">
        <x:f>Feuil1!AE107</x:f>
        <x:v>0</x:v>
      </x:c>
      <x:c r="F79" s="293" t="n">
        <x:f>Feuil1!AS107</x:f>
        <x:v>379.03255130351033</x:v>
      </x:c>
      <x:c r="G79" s="293" t="n">
        <x:f>Feuil1!AT107</x:f>
        <x:v>-1728.376176181781</x:v>
      </x:c>
      <x:c r="I79" t="n">
        <x:f>A59</x:f>
        <x:v>110</x:v>
      </x:c>
      <x:c r="J79" t="n">
        <x:f>F59</x:f>
        <x:v>712.3481829951297</x:v>
      </x:c>
      <x:c r="K79" t="n">
        <x:f>G59</x:f>
        <x:v>-816.0272253860268</x:v>
      </x:c>
    </x:row>
    <x:row r="80">
      <x:c r="A80" s="293" t="n">
        <x:f>Feuil1!A108</x:f>
        <x:v>152</x:v>
      </x:c>
      <x:c r="B80" s="293" t="n">
        <x:f>Feuil1!AF108</x:f>
        <x:v>641.5638041661173</x:v>
      </x:c>
      <x:c r="C80" s="293" t="n">
        <x:f>Feuil1!BE108</x:f>
        <x:v>-577.5676629949404</x:v>
      </x:c>
      <x:c r="D80" s="293" t="n">
        <x:f>B80+C80</x:f>
        <x:v>63.99614117117687</x:v>
      </x:c>
      <x:c r="E80" s="293" t="n">
        <x:f>Feuil1!AE108</x:f>
        <x:v>0</x:v>
      </x:c>
      <x:c r="F80" s="293" t="n">
        <x:f>Feuil1!AS108</x:f>
        <x:v>355.8900084143648</x:v>
      </x:c>
      <x:c r="G80" s="293" t="n">
        <x:f>Feuil1!AT108</x:f>
        <x:v>-1755.304091801479</x:v>
      </x:c>
      <x:c r="I80" t="n">
        <x:f>A60</x:f>
        <x:v>112</x:v>
      </x:c>
      <x:c r="J80" t="n">
        <x:f>F60</x:f>
        <x:v>702.8657238477446</x:v>
      </x:c>
      <x:c r="K80" t="n">
        <x:f>G60</x:f>
        <x:v>-877.1992059174943</x:v>
      </x:c>
    </x:row>
    <x:row r="81">
      <x:c r="A81" s="293" t="n">
        <x:f>Feuil1!A109</x:f>
        <x:v>154</x:v>
      </x:c>
      <x:c r="B81" s="293" t="n">
        <x:f>Feuil1!AF109</x:f>
        <x:v>706.3503770110292</x:v>
      </x:c>
      <x:c r="C81" s="293" t="n">
        <x:f>Feuil1!BE109</x:f>
        <x:v>-641.9065461099526</x:v>
      </x:c>
      <x:c r="D81" s="293" t="n">
        <x:f>B81+C81</x:f>
        <x:v>64.44383090107658</x:v>
      </x:c>
      <x:c r="E81" s="293" t="n">
        <x:f>Feuil1!AE109</x:f>
        <x:v>0</x:v>
      </x:c>
      <x:c r="F81" s="293" t="n">
        <x:f>Feuil1!AS109</x:f>
        <x:v>332.31386837061905</x:v>
      </x:c>
      <x:c r="G81" s="293" t="n">
        <x:f>Feuil1!AT109</x:f>
        <x:v>-1780.3763841132393</x:v>
      </x:c>
      <x:c r="I81" t="n">
        <x:f>A61</x:f>
        <x:v>114</x:v>
      </x:c>
      <x:c r="J81" t="n">
        <x:f>F61</x:f>
        <x:v>692.5269310840158</x:v>
      </x:c>
      <x:c r="K81" t="n">
        <x:f>G61</x:f>
        <x:v>-936.9384777455086</x:v>
      </x:c>
    </x:row>
    <x:row r="82">
      <x:c r="A82" s="293" t="n">
        <x:f>Feuil1!A110</x:f>
        <x:v>156</x:v>
      </x:c>
      <x:c r="B82" s="293" t="n">
        <x:f>Feuil1!AF110</x:f>
        <x:v>767.6956818212335</x:v>
      </x:c>
      <x:c r="C82" s="293" t="n">
        <x:f>Feuil1!BE110</x:f>
        <x:v>-703.1181250565362</x:v>
      </x:c>
      <x:c r="D82" s="293" t="n">
        <x:f>B82+C82</x:f>
        <x:v>64.5775567646973</x:v>
      </x:c>
      <x:c r="E82" s="293" t="n">
        <x:f>Feuil1!AE110</x:f>
        <x:v>0</x:v>
      </x:c>
      <x:c r="F82" s="293" t="n">
        <x:f>Feuil1!AS110</x:f>
        <x:v>308.3328550672917</x:v>
      </x:c>
      <x:c r="G82" s="293" t="n">
        <x:f>Feuil1!AT110</x:f>
        <x:v>-1803.5910787546818</x:v>
      </x:c>
      <x:c r="I82" t="n">
        <x:f>A62</x:f>
        <x:v>116</x:v>
      </x:c>
      <x:c r="J82" t="n">
        <x:f>F62</x:f>
        <x:v>681.3444009303572</x:v>
      </x:c>
      <x:c r="K82" t="n">
        <x:f>G62</x:f>
        <x:v>-995.1976629693067</x:v>
      </x:c>
    </x:row>
    <x:row r="83">
      <x:c r="A83" s="293" t="n">
        <x:f>Feuil1!A111</x:f>
        <x:v>158</x:v>
      </x:c>
      <x:c r="B83" s="293" t="n">
        <x:f>Feuil1!AF111</x:f>
        <x:v>825.3008504381041</x:v>
      </x:c>
      <x:c r="C83" s="293" t="n">
        <x:f>Feuil1!BE111</x:f>
        <x:v>-760.9041831750325</x:v>
      </x:c>
      <x:c r="D83" s="293" t="n">
        <x:f>B83+C83</x:f>
        <x:v>64.39666726307166</x:v>
      </x:c>
      <x:c r="E83" s="293" t="n">
        <x:f>Feuil1!AE111</x:f>
        <x:v>0</x:v>
      </x:c>
      <x:c r="F83" s="293" t="n">
        <x:f>Feuil1!AS111</x:f>
        <x:v>283.97618567510006</x:v>
      </x:c>
      <x:c r="G83" s="293" t="n">
        <x:f>Feuil1!AT111</x:f>
        <x:v>-1824.9469468819616</x:v>
      </x:c>
      <x:c r="I83" t="n">
        <x:f>A63</x:f>
        <x:v>118</x:v>
      </x:c>
      <x:c r="J83" t="n">
        <x:f>F63</x:f>
        <x:v>669.3317575772245</x:v>
      </x:c>
      <x:c r="K83" t="n">
        <x:f>G63</x:f>
        <x:v>-1051.9328364314576</x:v>
      </x:c>
    </x:row>
    <x:row r="84">
      <x:c r="A84" s="293" t="n">
        <x:f>Feuil1!A112</x:f>
        <x:v>160</x:v>
      </x:c>
      <x:c r="B84" s="293" t="n">
        <x:f>Feuil1!AF112</x:f>
        <x:v>878.8852362705939</x:v>
      </x:c>
      <x:c r="C84" s="293" t="n">
        <x:f>Feuil1!BE112</x:f>
        <x:v>-814.9831925989196</x:v>
      </x:c>
      <x:c r="D84" s="293" t="n">
        <x:f>B84+C84</x:f>
        <x:v>63.90204367167428</x:v>
      </x:c>
      <x:c r="E84" s="293" t="n">
        <x:f>Feuil1!AE112</x:f>
        <x:v>0</x:v>
      </x:c>
      <x:c r="F84" s="293" t="n">
        <x:f>Feuil1!AS112</x:f>
        <x:v>259.273535043841</x:v>
      </x:c>
      <x:c r="G84" s="293" t="n">
        <x:f>Feuil1!AT112</x:f>
        <x:v>-1844.4433748592146</x:v>
      </x:c>
      <x:c r="I84" t="n">
        <x:f>A64</x:f>
        <x:v>120</x:v>
      </x:c>
      <x:c r="J84" t="n">
        <x:f>F64</x:f>
        <x:v>656.5036365801369</x:v>
      </x:c>
      <x:c r="K84" t="n">
        <x:f>G64</x:f>
        <x:v>-1107.1034474261958</x:v>
      </x:c>
    </x:row>
    <x:row r="85">
      <x:c r="A85" s="293" t="n">
        <x:f>Feuil1!A113</x:f>
        <x:v>162</x:v>
      </x:c>
      <x:c r="B85" s="293" t="n">
        <x:f>Feuil1!AF113</x:f>
        <x:v>928.1877815772064</x:v>
      </x:c>
      <x:c r="C85" s="293" t="n">
        <x:f>Feuil1!BE113</x:f>
        <x:v>-865.0916858302902</x:v>
      </x:c>
      <x:c r="D85" s="293" t="n">
        <x:f>B85+C85</x:f>
        <x:v>63.09609574691615</x:v>
      </x:c>
      <x:c r="E85" s="293" t="n">
        <x:f>Feuil1!AE113</x:f>
        <x:v>0</x:v>
      </x:c>
      <x:c r="F85" s="293" t="n">
        <x:f>Feuil1!AS113</x:f>
        <x:v>234.2549995481577</x:v>
      </x:c>
      <x:c r="G85" s="293" t="n">
        <x:f>Feuil1!AT113</x:f>
        <x:v>-1862.0802412345993</x:v>
      </x:c>
      <x:c r="I85" t="n">
        <x:f>A65</x:f>
        <x:v>122</x:v>
      </x:c>
      <x:c r="J85" t="n">
        <x:f>F65</x:f>
        <x:v>642.8756670285096</x:v>
      </x:c>
      <x:c r="K85" t="n">
        <x:f>G65</x:f>
        <x:v>-1160.6722299025173</x:v>
      </x:c>
    </x:row>
    <x:row r="86">
      <x:c r="A86" s="293" t="n">
        <x:f>Feuil1!A114</x:f>
        <x:v>164</x:v>
      </x:c>
      <x:c r="B86" s="293" t="n">
        <x:f>Feuil1!AF114</x:f>
        <x:v>972.9682893130849</x:v>
      </x:c>
      <x:c r="C86" s="293" t="n">
        <x:f>Feuil1!BE114</x:f>
        <x:v>-910.9855393270066</x:v>
      </x:c>
      <x:c r="D86" s="293" t="n">
        <x:f>B86+C86</x:f>
        <x:v>61.982749986078375</x:v>
      </x:c>
      <x:c r="E86" s="293" t="n">
        <x:f>Feuil1!AE114</x:f>
        <x:v>0</x:v>
      </x:c>
      <x:c r="F86" s="293" t="n">
        <x:f>Feuil1!AS114</x:f>
        <x:v>208.95106041974168</x:v>
      </x:c>
      <x:c r="G86" s="293" t="n">
        <x:f>Feuil1!AT114</x:f>
        <x:v>-1877.8578017558193</x:v>
      </x:c>
      <x:c r="I86" t="n">
        <x:f>A66</x:f>
        <x:v>124</x:v>
      </x:c>
      <x:c r="J86" t="n">
        <x:f>F66</x:f>
        <x:v>628.4644525040133</x:v>
      </x:c>
      <x:c r="K86" t="n">
        <x:f>G66</x:f>
        <x:v>-1212.60510194965</x:v>
      </x:c>
    </x:row>
    <x:row r="87">
      <x:c r="A87" s="293" t="n">
        <x:f>Feuil1!A115</x:f>
        <x:v>166</x:v>
      </x:c>
      <x:c r="B87" s="293" t="n">
        <x:f>Feuil1!AF115</x:f>
        <x:v>1013.0085933458613</x:v>
      </x:c>
      <x:c r="C87" s="293" t="n">
        <x:f>Feuil1!BE115</x:f>
        <x:v>-952.4411628480681</x:v>
      </x:c>
      <x:c r="D87" s="293" t="n">
        <x:f>B87+C87</x:f>
        <x:v>60.567430497793225</x:v>
      </x:c>
      <x:c r="E87" s="293" t="n">
        <x:f>Feuil1!AE115</x:f>
        <x:v>0</x:v>
      </x:c>
      <x:c r="F87" s="293" t="n">
        <x:f>Feuil1!AS115</x:f>
        <x:v>183.39254661064706</x:v>
      </x:c>
      <x:c r="G87" s="293" t="n">
        <x:f>Feuil1!AT115</x:f>
        <x:v>-1891.7765831261313</x:v>
      </x:c>
      <x:c r="I87" t="n">
        <x:f>A67</x:f>
        <x:v>126</x:v>
      </x:c>
      <x:c r="J87" t="n">
        <x:f>F67</x:f>
        <x:v>613.287550851668</x:v>
      </x:c>
      <x:c r="K87" t="n">
        <x:f>G67</x:f>
        <x:v>-1262.8710553982198</x:v>
      </x:c>
    </x:row>
    <x:row r="88">
      <x:c r="A88" s="293" t="n">
        <x:f>Feuil1!A116</x:f>
        <x:v>168</x:v>
      </x:c>
      <x:c r="B88" s="293" t="n">
        <x:f>Feuil1!AF116</x:f>
        <x:v>1048.1136213391237</x:v>
      </x:c>
      <x:c r="C88" s="293" t="n">
        <x:f>Feuil1!BE116</x:f>
        <x:v>-989.2565887627857</x:v>
      </x:c>
      <x:c r="D88" s="293" t="n">
        <x:f>B88+C88</x:f>
        <x:v>58.85703257633804</x:v>
      </x:c>
      <x:c r="E88" s="293" t="n">
        <x:f>Feuil1!AE116</x:f>
        <x:v>0</x:v>
      </x:c>
      <x:c r="F88" s="293" t="n">
        <x:f>Feuil1!AS116</x:f>
        <x:v>157.610597232964</x:v>
      </x:c>
      <x:c r="G88" s="293" t="n">
        <x:f>Feuil1!AT116</x:f>
        <x:v>-1903.8372861463718</x:v>
      </x:c>
      <x:c r="I88" t="n">
        <x:f>A68</x:f>
        <x:v>128</x:v>
      </x:c>
      <x:c r="J88" t="n">
        <x:f>F68</x:f>
        <x:v>597.3634527883153</x:v>
      </x:c>
      <x:c r="K88" t="n">
        <x:f>G68</x:f>
        <x:v>-1311.4420364117932</x:v>
      </x:c>
    </x:row>
    <x:row r="89">
      <x:c r="A89" s="293" t="n">
        <x:f>Feuil1!A117</x:f>
        <x:v>170</x:v>
      </x:c>
      <x:c r="B89" s="293" t="n">
        <x:f>Feuil1!AF117</x:f>
        <x:v>1078.1123451252347</x:v>
      </x:c>
      <x:c r="C89" s="293" t="n">
        <x:f>Feuil1!BE117</x:f>
        <x:v>-1021.2524560167745</x:v>
      </x:c>
      <x:c r="D89" s="293" t="n">
        <x:f>B89+C89</x:f>
        <x:v>56.85988910846015</x:v>
      </x:c>
      <x:c r="E89" s="293" t="n">
        <x:f>Feuil1!AE117</x:f>
        <x:v>0</x:v>
      </x:c>
      <x:c r="F89" s="293" t="n">
        <x:f>Feuil1!AS117</x:f>
        <x:v>131.63662362060387</x:v>
      </x:c>
      <x:c r="G89" s="293" t="n">
        <x:f>Feuil1!AT117</x:f>
        <x:v>-1914.0406988297696</x:v>
      </x:c>
      <x:c r="I89" t="n">
        <x:f>A69</x:f>
        <x:v>130</x:v>
      </x:c>
      <x:c r="J89" t="n">
        <x:f>F69</x:f>
        <x:v>580.711559374526</x:v>
      </x:c>
      <x:c r="K89" t="n">
        <x:f>G69</x:f>
        <x:v>-1358.2928179800629</x:v>
      </x:c>
    </x:row>
    <x:row r="90">
      <x:c r="A90" s="293" t="n">
        <x:f>Feuil1!A118</x:f>
        <x:v>172</x:v>
      </x:c>
      <x:c r="B90" s="293" t="n">
        <x:f>Feuil1!AF118</x:f>
        <x:v>1102.8586139373701</x:v>
      </x:c>
      <x:c r="C90" s="293" t="n">
        <x:f>Feuil1!BE118</x:f>
        <x:v>-1048.2728839609886</x:v>
      </x:c>
      <x:c r="D90" s="293" t="n">
        <x:f>B90+C90</x:f>
        <x:v>54.58572997638157</x:v>
      </x:c>
      <x:c r="E90" s="293" t="n">
        <x:f>Feuil1!AE118</x:f>
        <x:v>0</x:v>
      </x:c>
      <x:c r="F90" s="293" t="n">
        <x:f>Feuil1!AS118</x:f>
        <x:v>105.50227105942952</x:v>
      </x:c>
      <x:c r="G90" s="293" t="n">
        <x:f>Feuil1!AT118</x:f>
        <x:v>-1922.387620014528</x:v>
      </x:c>
      <x:c r="I90" t="n">
        <x:f>A70</x:f>
        <x:v>132</x:v>
      </x:c>
      <x:c r="J90" t="n">
        <x:f>F70</x:f>
        <x:v>563.3521583773975</x:v>
      </x:c>
      <x:c r="K90" t="n">
        <x:f>G70</x:f>
        <x:v>-1403.4008652567513</x:v>
      </x:c>
    </x:row>
    <x:row r="91">
      <x:c r="A91" s="293" t="n">
        <x:f>Feuil1!A119</x:f>
        <x:v>174</x:v>
      </x:c>
      <x:c r="B91" s="293" t="n">
        <x:f>Feuil1!AF119</x:f>
        <x:v>1122.2318664413629</x:v>
      </x:c>
      <x:c r="C91" s="293" t="n">
        <x:f>Feuil1!BE119</x:f>
        <x:v>-1070.1862317865655</x:v>
      </x:c>
      <x:c r="D91" s="293" t="n">
        <x:f>B91+C91</x:f>
        <x:v>52.04563465479737</x:v>
      </x:c>
      <x:c r="E91" s="293" t="n">
        <x:f>Feuil1!AE119</x:f>
        <x:v>0</x:v>
      </x:c>
      <x:c r="F91" s="293" t="n">
        <x:f>Feuil1!AS119</x:f>
        <x:v>79.23938023234805</x:v>
      </x:c>
      <x:c r="G91" s="293" t="n">
        <x:f>Feuil1!AT119</x:f>
        <x:v>-1928.878793934728</x:v>
      </x:c>
      <x:c r="I91" t="n">
        <x:f>A71</x:f>
        <x:v>134</x:v>
      </x:c>
      <x:c r="J91" t="n">
        <x:f>F71</x:f>
        <x:v>545.3063995530335</x:v>
      </x:c>
      <x:c r="K91" t="n">
        <x:f>G71</x:f>
        <x:v>-1446.7461947120883</x:v>
      </x:c>
    </x:row>
    <x:row r="92">
      <x:c r="A92" s="293" t="n">
        <x:f>Feuil1!A120</x:f>
        <x:v>176</x:v>
      </x:c>
      <x:c r="B92" s="293" t="n">
        <x:f>Feuil1!AF120</x:f>
        <x:v>1136.137718098406</x:v>
      </x:c>
      <x:c r="C92" s="293" t="n">
        <x:f>Feuil1!BE120</x:f>
        <x:v>-1086.8857398656228</x:v>
      </x:c>
      <x:c r="D92" s="293" t="n">
        <x:f>B92+C92</x:f>
        <x:v>49.25197823278313</x:v>
      </x:c>
      <x:c r="E92" s="293" t="n">
        <x:f>Feuil1!AE120</x:f>
        <x:v>0</x:v>
      </x:c>
      <x:c r="F92" s="293" t="n">
        <x:f>Feuil1!AS120</x:f>
        <x:v>52.879948426344185</x:v>
      </x:c>
      <x:c r="G92" s="293" t="n">
        <x:f>Feuil1!AT120</x:f>
        <x:v>-1933.514856143278</x:v>
      </x:c>
      <x:c r="I92" t="n">
        <x:f>A72</x:f>
        <x:v>136</x:v>
      </x:c>
      <x:c r="J92" t="n">
        <x:f>F72</x:f>
        <x:v>526.5962688788255</x:v>
      </x:c>
      <x:c r="K92" t="n">
        <x:f>G72</x:f>
        <x:v>-1488.3112280914243</x:v>
      </x:c>
    </x:row>
    <x:row r="93">
      <x:c r="A93" s="293" t="n">
        <x:f>Feuil1!A121</x:f>
        <x:v>178</x:v>
      </x:c>
      <x:c r="B93" s="293" t="n">
        <x:f>Feuil1!AF121</x:f>
        <x:v>1144.5084209970373</x:v>
      </x:c>
      <x:c r="C93" s="293" t="n">
        <x:f>Feuil1!BE121</x:f>
        <x:v>-1098.290049873427</x:v>
      </x:c>
      <x:c r="D93" s="293" t="n">
        <x:f>B93+C93</x:f>
        <x:v>46.21837112361027</x:v>
      </x:c>
      <x:c r="E93" s="293" t="n">
        <x:f>Feuil1!AE121</x:f>
        <x:v>0</x:v>
      </x:c>
      <x:c r="F93" s="293" t="n">
        <x:f>Feuil1!AS121</x:f>
        <x:v>26.45609054871457</x:v>
      </x:c>
      <x:c r="G93" s="293" t="n">
        <x:f>Feuil1!AT121</x:f>
        <x:v>-1936.2962911118502</x:v>
      </x:c>
      <x:c r="I93" t="n">
        <x:f>A73</x:f>
        <x:v>138</x:v>
      </x:c>
      <x:c r="J93" t="n">
        <x:f>F73</x:f>
        <x:v>507.2445617669258</x:v>
      </x:c>
      <x:c r="K93" t="n">
        <x:f>G73</x:f>
        <x:v>-1528.0806421880134</x:v>
      </x:c>
    </x:row>
    <x:row r="94">
      <x:c r="A94" s="293" t="n">
        <x:f>Feuil1!A122</x:f>
        <x:v>180</x:v>
      </x:c>
      <x:c r="B94" s="293" t="n">
        <x:f>Feuil1!AF122</x:f>
        <x:v>1147.3031939141547</x:v>
      </x:c>
      <x:c r="C94" s="293" t="n">
        <x:f>Feuil1!BE122</x:f>
        <x:v>-1104.3436011579777</x:v>
      </x:c>
      <x:c r="D94" s="293" t="n">
        <x:f>B94+C94</x:f>
        <x:v>42.95959275617702</x:v>
      </x:c>
      <x:c r="E94" s="293" t="n">
        <x:f>Feuil1!AE122</x:f>
        <x:v>0</x:v>
      </x:c>
      <x:c r="F94" s="293" t="n">
        <x:f>Feuil1!AS122</x:f>
        <x:v>0</x:v>
      </x:c>
      <x:c r="G94" s="293" t="n">
        <x:f>Feuil1!AT122</x:f>
        <x:v>-1937.2234017622395</x:v>
      </x:c>
      <x:c r="I94" t="n">
        <x:f>A74</x:f>
        <x:v>140</x:v>
      </x:c>
      <x:c r="J94" t="n">
        <x:f>F74</x:f>
        <x:v>487.2748552915481</x:v>
      </x:c>
      <x:c r="K94" t="n">
        <x:f>G74</x:f>
        <x:v>-1566.0412154492415</x:v>
      </x:c>
    </x:row>
    <x:row r="95">
      <x:c r="A95" s="293" t="n">
        <x:f>Feuil1!A123</x:f>
        <x:v>182</x:v>
      </x:c>
      <x:c r="B95" s="293" t="n">
        <x:f>Feuil1!AF123</x:f>
        <x:v>1144.5084209970375</x:v>
      </x:c>
      <x:c r="C95" s="293" t="n">
        <x:f>Feuil1!BE123</x:f>
        <x:v>-1105.0169014259172</x:v>
      </x:c>
      <x:c r="D95" s="293" t="n">
        <x:f>B95+C95</x:f>
        <x:v>39.49151957112031</x:v>
      </x:c>
      <x:c r="E95" s="293" t="n">
        <x:f>Feuil1!AE123</x:f>
        <x:v>0</x:v>
      </x:c>
      <x:c r="F95" s="293" t="n">
        <x:f>Feuil1!AS123</x:f>
        <x:v>-26.456090548714513</x:v>
      </x:c>
      <x:c r="G95" s="293" t="n">
        <x:f>Feuil1!AT123</x:f>
        <x:v>-1936.2962911118505</x:v>
      </x:c>
      <x:c r="I95" t="n">
        <x:f>A75</x:f>
        <x:v>142</x:v>
      </x:c>
      <x:c r="J95" t="n">
        <x:f>F75</x:f>
        <x:v>466.7114794639351</x:v>
      </x:c>
      <x:c r="K95" t="n">
        <x:f>G75</x:f>
        <x:v>-1602.1816724414425</x:v>
      </x:c>
    </x:row>
    <x:row r="96">
      <x:c r="A96" s="293" t="n">
        <x:f>Feuil1!A124</x:f>
        <x:v>184</x:v>
      </x:c>
      <x:c r="B96" s="293" t="n">
        <x:f>Feuil1!AF124</x:f>
        <x:v>1136.137718098405</x:v>
      </x:c>
      <x:c r="C96" s="293" t="n">
        <x:f>Feuil1!BE124</x:f>
        <x:v>-1100.3066704260204</x:v>
      </x:c>
      <x:c r="D96" s="293" t="n">
        <x:f>B96+C96</x:f>
        <x:v>35.83104767238456</x:v>
      </x:c>
      <x:c r="E96" s="293" t="n">
        <x:f>Feuil1!AE124</x:f>
        <x:v>0</x:v>
      </x:c>
      <x:c r="F96" s="293" t="n">
        <x:f>Feuil1!AS124</x:f>
        <x:v>-52.879948426344015</x:v>
      </x:c>
      <x:c r="G96" s="293" t="n">
        <x:f>Feuil1!AT124</x:f>
        <x:v>-1933.514856143278</x:v>
      </x:c>
      <x:c r="I96" t="n">
        <x:f>A76</x:f>
        <x:v>144</x:v>
      </x:c>
      <x:c r="J96" t="n">
        <x:f>F76</x:f>
        <x:v>445.5794875899872</x:v>
      </x:c>
      <x:c r="K96" t="n">
        <x:f>G76</x:f>
        <x:v>-1636.4925271990364</x:v>
      </x:c>
    </x:row>
    <x:row r="97">
      <x:c r="A97" s="293" t="n">
        <x:f>Feuil1!A125</x:f>
        <x:v>186</x:v>
      </x:c>
      <x:c r="B97" s="293" t="n">
        <x:f>Feuil1!AF125</x:f>
        <x:v>1122.2318664413629</x:v>
      </x:c>
      <x:c r="C97" s="293" t="n">
        <x:f>Feuil1!BE125</x:f>
        <x:v>-1090.2358559302477</x:v>
      </x:c>
      <x:c r="D97" s="293" t="n">
        <x:f>B97+C97</x:f>
        <x:v>31.996010511115173</x:v>
      </x:c>
      <x:c r="E97" s="293" t="n">
        <x:f>Feuil1!AE125</x:f>
        <x:v>0</x:v>
      </x:c>
      <x:c r="F97" s="293" t="n">
        <x:f>Feuil1!AS125</x:f>
        <x:v>-79.2393802323476</x:v>
      </x:c>
      <x:c r="G97" s="293" t="n">
        <x:f>Feuil1!AT125</x:f>
        <x:v>-1928.878793934728</x:v>
      </x:c>
      <x:c r="I97" t="n">
        <x:f>A77</x:f>
        <x:v>146</x:v>
      </x:c>
      <x:c r="J97" t="n">
        <x:f>F77</x:f>
        <x:v>423.9046257466696</x:v>
      </x:c>
      <x:c r="K97" t="n">
        <x:f>G77</x:f>
        <x:v>-1668.965926478954</x:v>
      </x:c>
    </x:row>
    <x:row r="98">
      <x:c r="A98" s="293" t="n">
        <x:f>Feuil1!A126</x:f>
        <x:v>188</x:v>
      </x:c>
      <x:c r="B98" s="293" t="n">
        <x:f>Feuil1!AF126</x:f>
        <x:v>1102.8586139373713</x:v>
      </x:c>
      <x:c r="C98" s="293" t="n">
        <x:f>Feuil1!BE126</x:f>
        <x:v>-1074.8535219345079</x:v>
      </x:c>
      <x:c r="D98" s="293" t="n">
        <x:f>B98+C98</x:f>
        <x:v>28.00509200286342</x:v>
      </x:c>
      <x:c r="E98" s="293" t="n">
        <x:f>Feuil1!AE126</x:f>
        <x:v>0</x:v>
      </x:c>
      <x:c r="F98" s="293" t="n">
        <x:f>Feuil1!AS126</x:f>
        <x:v>-105.50227105942906</x:v>
      </x:c>
      <x:c r="G98" s="293" t="n">
        <x:f>Feuil1!AT126</x:f>
        <x:v>-1922.3876200145278</x:v>
      </x:c>
      <x:c r="I98" t="n">
        <x:f>A78</x:f>
        <x:v>148</x:v>
      </x:c>
      <x:c r="J98" t="n">
        <x:f>F78</x:f>
        <x:v>401.7133014143816</x:v>
      </x:c>
      <x:c r="K98" t="n">
        <x:f>G78</x:f>
        <x:v>-1699.5954939312846</x:v>
      </x:c>
    </x:row>
    <x:row r="99">
      <x:c r="A99" s="293" t="n">
        <x:f>Feuil1!A127</x:f>
        <x:v>190</x:v>
      </x:c>
      <x:c r="B99" s="293" t="n">
        <x:f>Feuil1!AF127</x:f>
        <x:v>1078.1123451252356</x:v>
      </x:c>
      <x:c r="C99" s="293" t="n">
        <x:f>Feuil1!BE127</x:f>
        <x:v>-1054.234609623801</x:v>
      </x:c>
      <x:c r="D99" s="293" t="n">
        <x:f>B99+C99</x:f>
        <x:v>23.8777355014347</x:v>
      </x:c>
      <x:c r="E99" s="293" t="n">
        <x:f>Feuil1!AE127</x:f>
        <x:v>0</x:v>
      </x:c>
      <x:c r="F99" s="293" t="n">
        <x:f>Feuil1!AS127</x:f>
        <x:v>-131.63662362060361</x:v>
      </x:c>
      <x:c r="G99" s="293" t="n">
        <x:f>Feuil1!AT127</x:f>
        <x:v>-1914.0406988297696</x:v>
      </x:c>
      <x:c r="I99" t="n">
        <x:f>A79</x:f>
        <x:v>150</x:v>
      </x:c>
      <x:c r="J99" t="n">
        <x:f>F79</x:f>
        <x:v>379.03255130351033</x:v>
      </x:c>
      <x:c r="K99" t="n">
        <x:f>G79</x:f>
        <x:v>-1728.376176181781</x:v>
      </x:c>
    </x:row>
    <x:row r="100">
      <x:c r="A100" s="293" t="n">
        <x:f>Feuil1!A128</x:f>
        <x:v>192</x:v>
      </x:c>
      <x:c r="B100" s="293" t="n">
        <x:f>Feuil1!AF128</x:f>
        <x:v>1048.1136213391244</x:v>
      </x:c>
      <x:c r="C100" s="293" t="n">
        <x:f>Feuil1!BE128</x:f>
        <x:v>-1028.4795722663</x:v>
      </x:c>
      <x:c r="D100" s="293" t="n">
        <x:f>B100+C100</x:f>
        <x:v>19.634049072824382</x:v>
      </x:c>
      <x:c r="E100" s="293" t="n">
        <x:f>Feuil1!AE128</x:f>
        <x:v>0</x:v>
      </x:c>
      <x:c r="F100" s="293" t="n">
        <x:f>Feuil1!AS128</x:f>
        <x:v>-157.61059723296356</x:v>
      </x:c>
      <x:c r="G100" s="293" t="n">
        <x:f>Feuil1!AT128</x:f>
        <x:v>-1903.8372861463718</x:v>
      </x:c>
      <x:c r="I100" t="n">
        <x:f>A80</x:f>
        <x:v>152</x:v>
      </x:c>
      <x:c r="J100" t="n">
        <x:f>F80</x:f>
        <x:v>355.8900084143648</x:v>
      </x:c>
      <x:c r="K100" t="n">
        <x:f>G80</x:f>
        <x:v>-1755.304091801479</x:v>
      </x:c>
    </x:row>
    <x:row r="101">
      <x:c r="A101" s="293" t="n">
        <x:f>Feuil1!A129</x:f>
        <x:v>194</x:v>
      </x:c>
      <x:c r="B101" s="293" t="n">
        <x:f>Feuil1!AF129</x:f>
        <x:v>1013.0085933458608</x:v>
      </x:c>
      <x:c r="C101" s="293" t="n">
        <x:f>Feuil1!BE129</x:f>
        <x:v>-997.7138858151218</x:v>
      </x:c>
      <x:c r="D101" s="293" t="n">
        <x:f>B101+C101</x:f>
        <x:v>15.29470753073906</x:v>
      </x:c>
      <x:c r="E101" s="293" t="n">
        <x:f>Feuil1!AE129</x:f>
        <x:v>0</x:v>
      </x:c>
      <x:c r="F101" s="293" t="n">
        <x:f>Feuil1!AS129</x:f>
        <x:v>-183.39254661064706</x:v>
      </x:c>
      <x:c r="G101" s="293" t="n">
        <x:f>Feuil1!AT129</x:f>
        <x:v>-1891.776583126131</x:v>
      </x:c>
      <x:c r="I101" t="n">
        <x:f>A81</x:f>
        <x:v>154</x:v>
      </x:c>
      <x:c r="J101" t="n">
        <x:f>F81</x:f>
        <x:v>332.31386837061905</x:v>
      </x:c>
      <x:c r="K101" t="n">
        <x:f>G81</x:f>
        <x:v>-1780.3763841132393</x:v>
      </x:c>
    </x:row>
    <x:row r="102">
      <x:c r="A102" s="293" t="n">
        <x:f>Feuil1!A130</x:f>
        <x:v>196</x:v>
      </x:c>
      <x:c r="B102" s="293" t="n">
        <x:f>Feuil1!AF130</x:f>
        <x:v>972.9682893130853</x:v>
      </x:c>
      <x:c r="C102" s="293" t="n">
        <x:f>Feuil1!BE130</x:f>
        <x:v>-962.0874376021025</x:v>
      </x:c>
      <x:c r="D102" s="293" t="n">
        <x:f>B102+C102</x:f>
        <x:v>10.880851710982824</x:v>
      </x:c>
      <x:c r="E102" s="293" t="n">
        <x:f>Feuil1!AE130</x:f>
        <x:v>0</x:v>
      </x:c>
      <x:c r="F102" s="293" t="n">
        <x:f>Feuil1!AS130</x:f>
        <x:v>-208.95106041974128</x:v>
      </x:c>
      <x:c r="G102" s="293" t="n">
        <x:f>Feuil1!AT130</x:f>
        <x:v>-1877.8578017558193</x:v>
      </x:c>
      <x:c r="I102" t="n">
        <x:f>A82</x:f>
        <x:v>156</x:v>
      </x:c>
      <x:c r="J102" t="n">
        <x:f>F82</x:f>
        <x:v>308.3328550672917</x:v>
      </x:c>
      <x:c r="K102" t="n">
        <x:f>G82</x:f>
        <x:v>-1803.5910787546818</x:v>
      </x:c>
    </x:row>
    <x:row r="103">
      <x:c r="A103" s="293" t="n">
        <x:f>Feuil1!A131</x:f>
        <x:v>198</x:v>
      </x:c>
      <x:c r="B103" s="293" t="n">
        <x:f>Feuil1!AF131</x:f>
        <x:v>928.1877815772073</x:v>
      </x:c>
      <x:c r="C103" s="293" t="n">
        <x:f>Feuil1!BE131</x:f>
        <x:v>-921.7737961017756</x:v>
      </x:c>
      <x:c r="D103" s="293" t="n">
        <x:f>B103+C103</x:f>
        <x:v>6.413985475431673</x:v>
      </x:c>
      <x:c r="E103" s="293" t="n">
        <x:f>Feuil1!AE131</x:f>
        <x:v>0</x:v>
      </x:c>
      <x:c r="F103" s="293" t="n">
        <x:f>Feuil1!AS131</x:f>
        <x:v>-234.25499954815768</x:v>
      </x:c>
      <x:c r="G103" s="293" t="n">
        <x:f>Feuil1!AT131</x:f>
        <x:v>-1862.0802412345997</x:v>
      </x:c>
      <x:c r="I103" t="n">
        <x:f>A83</x:f>
        <x:v>158</x:v>
      </x:c>
      <x:c r="J103" t="n">
        <x:f>F83</x:f>
        <x:v>283.97618567510006</x:v>
      </x:c>
      <x:c r="K103" t="n">
        <x:f>G83</x:f>
        <x:v>-1824.9469468819616</x:v>
      </x:c>
    </x:row>
    <x:row r="104">
      <x:c r="A104" s="293" t="n">
        <x:f>Feuil1!A132</x:f>
        <x:v>200</x:v>
      </x:c>
      <x:c r="B104" s="293" t="n">
        <x:f>Feuil1!AF132</x:f>
        <x:v>878.8852362705929</x:v>
      </x:c>
      <x:c r="C104" s="293" t="n">
        <x:f>Feuil1!BE132</x:f>
        <x:v>-876.9693653232198</x:v>
      </x:c>
      <x:c r="D104" s="293" t="n">
        <x:f>B104+C104</x:f>
        <x:v>1.9158709473731506</x:v>
      </x:c>
      <x:c r="E104" s="293" t="n">
        <x:f>Feuil1!AE132</x:f>
        <x:v>0</x:v>
      </x:c>
      <x:c r="F104" s="293" t="n">
        <x:f>Feuil1!AS132</x:f>
        <x:v>-259.273535043841</x:v>
      </x:c>
      <x:c r="G104" s="293" t="n">
        <x:f>Feuil1!AT132</x:f>
        <x:v>-1844.4433748592144</x:v>
      </x:c>
      <x:c r="I104" t="n">
        <x:f>A84</x:f>
        <x:v>160</x:v>
      </x:c>
      <x:c r="J104" t="n">
        <x:f>F84</x:f>
        <x:v>259.273535043841</x:v>
      </x:c>
      <x:c r="K104" t="n">
        <x:f>G84</x:f>
        <x:v>-1844.4433748592146</x:v>
      </x:c>
    </x:row>
    <x:row r="105">
      <x:c r="A105" s="293" t="n">
        <x:f>Feuil1!A133</x:f>
        <x:v>202</x:v>
      </x:c>
      <x:c r="B105" s="293" t="n">
        <x:f>Feuil1!AF133</x:f>
        <x:v>825.3008504381046</x:v>
      </x:c>
      <x:c r="C105" s="293" t="n">
        <x:f>Feuil1!BE133</x:f>
        <x:v>-827.892427949462</x:v>
      </x:c>
      <x:c r="D105" s="293" t="n">
        <x:f>B105+C105</x:f>
        <x:v>-2.5915775113574</x:v>
      </x:c>
      <x:c r="E105" s="293" t="n">
        <x:f>Feuil1!AE133</x:f>
        <x:v>0</x:v>
      </x:c>
      <x:c r="F105" s="293" t="n">
        <x:f>Feuil1!AS133</x:f>
        <x:v>-283.97618567509977</x:v>
      </x:c>
      <x:c r="G105" s="293" t="n">
        <x:f>Feuil1!AT133</x:f>
        <x:v>-1824.9469468819616</x:v>
      </x:c>
      <x:c r="I105" t="n">
        <x:f>A85</x:f>
        <x:v>162</x:v>
      </x:c>
      <x:c r="J105" t="n">
        <x:f>F85</x:f>
        <x:v>234.2549995481577</x:v>
      </x:c>
      <x:c r="K105" t="n">
        <x:f>G85</x:f>
        <x:v>-1862.0802412345993</x:v>
      </x:c>
    </x:row>
    <x:row r="106">
      <x:c r="A106" s="293" t="n">
        <x:f>Feuil1!A134</x:f>
        <x:v>204</x:v>
      </x:c>
      <x:c r="B106" s="293" t="n">
        <x:f>Feuil1!AF134</x:f>
        <x:v>767.6956818212338</x:v>
      </x:c>
      <x:c r="C106" s="293" t="n">
        <x:f>Feuil1!BE134</x:f>
        <x:v>-774.7820818861887</x:v>
      </x:c>
      <x:c r="D106" s="293" t="n">
        <x:f>B106+C106</x:f>
        <x:v>-7.086400064954887</x:v>
      </x:c>
      <x:c r="E106" s="293" t="n">
        <x:f>Feuil1!AE134</x:f>
        <x:v>0</x:v>
      </x:c>
      <x:c r="F106" s="293" t="n">
        <x:f>Feuil1!AS134</x:f>
        <x:v>-308.3328550672913</x:v>
      </x:c>
      <x:c r="G106" s="293" t="n">
        <x:f>Feuil1!AT134</x:f>
        <x:v>-1803.5910787546823</x:v>
      </x:c>
      <x:c r="I106" t="n">
        <x:f>A86</x:f>
        <x:v>164</x:v>
      </x:c>
      <x:c r="J106" t="n">
        <x:f>F86</x:f>
        <x:v>208.95106041974168</x:v>
      </x:c>
      <x:c r="K106" t="n">
        <x:f>G86</x:f>
        <x:v>-1877.8578017558193</x:v>
      </x:c>
    </x:row>
    <x:row r="107">
      <x:c r="A107" s="293" t="n">
        <x:f>Feuil1!A135</x:f>
        <x:v>206</x:v>
      </x:c>
      <x:c r="B107" s="293" t="n">
        <x:f>Feuil1!AF135</x:f>
        <x:v>706.3503770110287</x:v>
      </x:c>
      <x:c r="C107" s="293" t="n">
        <x:f>Feuil1!BE135</x:f>
        <x:v>-717.89707540079</x:v>
      </x:c>
      <x:c r="D107" s="293" t="n">
        <x:f>B107+C107</x:f>
        <x:v>-11.546698389761218</x:v>
      </x:c>
      <x:c r="E107" s="293" t="n">
        <x:f>Feuil1!AE135</x:f>
        <x:v>0</x:v>
      </x:c>
      <x:c r="F107" s="293" t="n">
        <x:f>Feuil1!AS135</x:f>
        <x:v>-332.31386837061905</x:v>
      </x:c>
      <x:c r="G107" s="293" t="n">
        <x:f>Feuil1!AT135</x:f>
        <x:v>-1780.3763841132395</x:v>
      </x:c>
      <x:c r="I107" t="n">
        <x:f>A87</x:f>
        <x:v>166</x:v>
      </x:c>
      <x:c r="J107" t="n">
        <x:f>F87</x:f>
        <x:v>183.39254661064706</x:v>
      </x:c>
      <x:c r="K107" t="n">
        <x:f>G87</x:f>
        <x:v>-1891.7765831261313</x:v>
      </x:c>
    </x:row>
    <x:row r="108">
      <x:c r="A108" s="293" t="n">
        <x:f>Feuil1!A136</x:f>
        <x:v>208</x:v>
      </x:c>
      <x:c r="B108" s="293" t="n">
        <x:f>Feuil1!AF136</x:f>
        <x:v>641.5638041661193</x:v>
      </x:c>
      <x:c r="C108" s="293" t="n">
        <x:f>Feuil1!BE136</x:f>
        <x:v>-657.5145465267987</x:v>
      </x:c>
      <x:c r="D108" s="293" t="n">
        <x:f>B108+C108</x:f>
        <x:v>-15.950742360679328</x:v>
      </x:c>
      <x:c r="E108" s="293" t="n">
        <x:f>Feuil1!AE136</x:f>
        <x:v>0</x:v>
      </x:c>
      <x:c r="F108" s="293" t="n">
        <x:f>Feuil1!AS136</x:f>
        <x:v>-355.89000841436456</x:v>
      </x:c>
      <x:c r="G108" s="293" t="n">
        <x:f>Feuil1!AT136</x:f>
        <x:v>-1755.3040918014794</x:v>
      </x:c>
      <x:c r="I108" t="n">
        <x:f>A88</x:f>
        <x:v>168</x:v>
      </x:c>
      <x:c r="J108" t="n">
        <x:f>F88</x:f>
        <x:v>157.610597232964</x:v>
      </x:c>
      <x:c r="K108" t="n">
        <x:f>G88</x:f>
        <x:v>-1903.8372861463718</x:v>
      </x:c>
    </x:row>
    <x:row r="109">
      <x:c r="A109" s="293" t="n">
        <x:f>Feuil1!A137</x:f>
        <x:v>210</x:v>
      </x:c>
      <x:c r="B109" s="293" t="n">
        <x:f>Feuil1!AF137</x:f>
        <x:v>573.6515969570798</x:v>
      </x:c>
      <x:c r="C109" s="293" t="n">
        <x:f>Feuil1!BE137</x:f>
        <x:v>-593.9286728752616</x:v>
      </x:c>
      <x:c r="D109" s="293" t="n">
        <x:f>B109+C109</x:f>
        <x:v>-20.27707591818171</x:v>
      </x:c>
      <x:c r="E109" s="293" t="n">
        <x:f>Feuil1!AE137</x:f>
        <x:v>0</x:v>
      </x:c>
      <x:c r="F109" s="293" t="n">
        <x:f>Feuil1!AS137</x:f>
        <x:v>-379.0325513035102</x:v>
      </x:c>
      <x:c r="G109" s="293" t="n">
        <x:f>Feuil1!AT137</x:f>
        <x:v>-1728.3761761817814</x:v>
      </x:c>
      <x:c r="I109" t="n">
        <x:f>A89</x:f>
        <x:v>170</x:v>
      </x:c>
      <x:c r="J109" t="n">
        <x:f>F89</x:f>
        <x:v>131.63662362060387</x:v>
      </x:c>
      <x:c r="K109" t="n">
        <x:f>G89</x:f>
        <x:v>-1914.0406988297696</x:v>
      </x:c>
    </x:row>
    <x:row r="110">
      <x:c r="A110" s="293" t="n">
        <x:f>Feuil1!A138</x:f>
        <x:v>212</x:v>
      </x:c>
      <x:c r="B110" s="293" t="n">
        <x:f>Feuil1!AF138</x:f>
        <x:v>502.9446168309207</x:v>
      </x:c>
      <x:c r="C110" s="293" t="n">
        <x:f>Feuil1!BE138</x:f>
        <x:v>-527.4492384309759</x:v>
      </x:c>
      <x:c r="D110" s="293" t="n">
        <x:f>B110+C110</x:f>
        <x:v>-24.504621600055202</x:v>
      </x:c>
      <x:c r="E110" s="293" t="n">
        <x:f>Feuil1!AE138</x:f>
        <x:v>0</x:v>
      </x:c>
      <x:c r="F110" s="293" t="n">
        <x:f>Feuil1!AS138</x:f>
        <x:v>-401.71330141438125</x:v>
      </x:c>
      <x:c r="G110" s="293" t="n">
        <x:f>Feuil1!AT138</x:f>
        <x:v>-1699.5954939312855</x:v>
      </x:c>
      <x:c r="I110" t="n">
        <x:f>A90</x:f>
        <x:v>172</x:v>
      </x:c>
      <x:c r="J110" t="n">
        <x:f>F90</x:f>
        <x:v>105.50227105942952</x:v>
      </x:c>
      <x:c r="K110" t="n">
        <x:f>G90</x:f>
        <x:v>-1922.387620014528</x:v>
      </x:c>
    </x:row>
    <x:row r="111">
      <x:c r="A111" s="293" t="n">
        <x:f>Feuil1!A139</x:f>
        <x:v>214</x:v>
      </x:c>
      <x:c r="B111" s="293" t="n">
        <x:f>Feuil1!AF139</x:f>
        <x:v>429.78734108737854</x:v>
      </x:c>
      <x:c r="C111" s="293" t="n">
        <x:f>Feuil1!BE139</x:f>
        <x:v>-458.40012431606834</x:v>
      </x:c>
      <x:c r="D111" s="293" t="n">
        <x:f>B111+C111</x:f>
        <x:v>-28.612783228689807</x:v>
      </x:c>
      <x:c r="E111" s="293" t="n">
        <x:f>Feuil1!AE139</x:f>
        <x:v>0</x:v>
      </x:c>
      <x:c r="F111" s="293" t="n">
        <x:f>Feuil1!AS139</x:f>
        <x:v>-423.90462574666924</x:v>
      </x:c>
      <x:c r="G111" s="293" t="n">
        <x:f>Feuil1!AT139</x:f>
        <x:v>-1668.9659264789552</x:v>
      </x:c>
      <x:c r="I111" t="n">
        <x:f>A91</x:f>
        <x:v>174</x:v>
      </x:c>
      <x:c r="J111" t="n">
        <x:f>F91</x:f>
        <x:v>79.23938023234805</x:v>
      </x:c>
      <x:c r="K111" t="n">
        <x:f>G91</x:f>
        <x:v>-1928.878793934728</x:v>
      </x:c>
    </x:row>
    <x:row r="112">
      <x:c r="A112" s="293" t="n">
        <x:f>Feuil1!A140</x:f>
        <x:v>216</x:v>
      </x:c>
      <x:c r="B112" s="293" t="n">
        <x:f>Feuil1!AF140</x:f>
        <x:v>354.53618462012673</x:v>
      </x:c>
      <x:c r="C112" s="293" t="n">
        <x:f>Feuil1!BE140</x:f>
        <x:v>-387.11773087371046</x:v>
      </x:c>
      <x:c r="D112" s="293" t="n">
        <x:f>B112+C112</x:f>
        <x:v>-32.581546253583724</x:v>
      </x:c>
      <x:c r="E112" s="293" t="n">
        <x:f>Feuil1!AE140</x:f>
        <x:v>0</x:v>
      </x:c>
      <x:c r="F112" s="293" t="n">
        <x:f>Feuil1!AS140</x:f>
        <x:v>-445.57948758998725</x:v>
      </x:c>
      <x:c r="G112" s="293" t="n">
        <x:f>Feuil1!AT140</x:f>
        <x:v>-1636.492527199036</x:v>
      </x:c>
      <x:c r="I112" t="n">
        <x:f>A92</x:f>
        <x:v>176</x:v>
      </x:c>
      <x:c r="J112" t="n">
        <x:f>F92</x:f>
        <x:v>52.879948426344185</x:v>
      </x:c>
      <x:c r="K112" t="n">
        <x:f>G92</x:f>
        <x:v>-1933.514856143278</x:v>
      </x:c>
    </x:row>
    <x:row r="113">
      <x:c r="A113" s="293" t="n">
        <x:f>Feuil1!A141</x:f>
        <x:v>218</x:v>
      </x:c>
      <x:c r="B113" s="293" t="n">
        <x:f>Feuil1!AF141</x:f>
        <x:v>277.55776349926396</x:v>
      </x:c>
      <x:c r="C113" s="293" t="n">
        <x:f>Feuil1!BE141</x:f>
        <x:v>-313.94933875947584</x:v>
      </x:c>
      <x:c r="D113" s="293" t="n">
        <x:f>B113+C113</x:f>
        <x:v>-36.39157526021188</x:v>
      </x:c>
      <x:c r="E113" s="293" t="n">
        <x:f>Feuil1!AE141</x:f>
        <x:v>0</x:v>
      </x:c>
      <x:c r="F113" s="293" t="n">
        <x:f>Feuil1!AS141</x:f>
        <x:v>-466.71147946393467</x:v>
      </x:c>
      <x:c r="G113" s="293" t="n">
        <x:f>Feuil1!AT141</x:f>
        <x:v>-1602.181672441443</x:v>
      </x:c>
      <x:c r="I113" t="n">
        <x:f>A93</x:f>
        <x:v>178</x:v>
      </x:c>
      <x:c r="J113" t="n">
        <x:f>F93</x:f>
        <x:v>26.45609054871457</x:v>
      </x:c>
      <x:c r="K113" t="n">
        <x:f>G93</x:f>
        <x:v>-1936.2962911118502</x:v>
      </x:c>
    </x:row>
    <x:row r="114">
      <x:c r="A114" s="293" t="n">
        <x:f>Feuil1!A142</x:f>
        <x:v>220</x:v>
      </x:c>
      <x:c r="B114" s="293" t="n">
        <x:f>Feuil1!AF142</x:f>
        <x:v>199.22710885464198</x:v>
      </x:c>
      <x:c r="C114" s="293" t="n">
        <x:f>Feuil1!BE142</x:f>
        <x:v>-239.25141702488233</x:v>
      </x:c>
      <x:c r="D114" s="293" t="n">
        <x:f>B114+C114</x:f>
        <x:v>-40.024308170240346</x:v>
      </x:c>
      <x:c r="E114" s="293" t="n">
        <x:f>Feuil1!AE142</x:f>
        <x:v>0</x:v>
      </x:c>
      <x:c r="F114" s="293" t="n">
        <x:f>Feuil1!AS142</x:f>
        <x:v>-487.2748552915478</x:v>
      </x:c>
      <x:c r="G114" s="293" t="n">
        <x:f>Feuil1!AT142</x:f>
        <x:v>-1566.041215449242</x:v>
      </x:c>
      <x:c r="I114" t="n">
        <x:f>A94</x:f>
        <x:v>180</x:v>
      </x:c>
      <x:c r="J114" t="n">
        <x:f>F94</x:f>
        <x:v>0</x:v>
      </x:c>
      <x:c r="K114" t="n">
        <x:f>G94</x:f>
        <x:v>-1937.2234017622395</x:v>
      </x:c>
    </x:row>
    <x:row r="115">
      <x:c r="A115" s="293" t="n">
        <x:f>Feuil1!A143</x:f>
        <x:v>222</x:v>
      </x:c>
      <x:c r="B115" s="293" t="n">
        <x:f>Feuil1!AF143</x:f>
        <x:v>119.925839761916</x:v>
      </x:c>
      <x:c r="C115" s="293" t="n">
        <x:f>Feuil1!BE143</x:f>
        <x:v>-163.38788643601</x:v>
      </x:c>
      <x:c r="D115" s="293" t="n">
        <x:f>B115+C115</x:f>
        <x:v>-43.46204667409401</x:v>
      </x:c>
      <x:c r="E115" s="293" t="n">
        <x:f>Feuil1!AE143</x:f>
        <x:v>0</x:v>
      </x:c>
      <x:c r="F115" s="293" t="n">
        <x:f>Feuil1!AS143</x:f>
        <x:v>-507.24456176692587</x:v>
      </x:c>
      <x:c r="G115" s="293" t="n">
        <x:f>Feuil1!AT143</x:f>
        <x:v>-1528.0806421880134</x:v>
      </x:c>
      <x:c r="I115" t="n">
        <x:f>A95</x:f>
        <x:v>182</x:v>
      </x:c>
      <x:c r="J115" t="n">
        <x:f>F95</x:f>
        <x:v>-26.456090548714513</x:v>
      </x:c>
      <x:c r="K115" t="n">
        <x:f>G95</x:f>
        <x:v>-1936.2962911118505</x:v>
      </x:c>
    </x:row>
    <x:row r="116">
      <x:c r="A116" s="293" t="n">
        <x:f>Feuil1!A144</x:f>
        <x:v>224</x:v>
      </x:c>
      <x:c r="B116" s="293" t="n">
        <x:f>Feuil1!AF144</x:f>
        <x:v>40.04030403277602</x:v>
      </x:c>
      <x:c r="C116" s="293" t="n">
        <x:f>Feuil1!BE144</x:f>
        <x:v>-86.7283464881163</x:v>
      </x:c>
      <x:c r="D116" s="293" t="n">
        <x:f>B116+C116</x:f>
        <x:v>-46.68804245534028</x:v>
      </x:c>
      <x:c r="E116" s="293" t="n">
        <x:f>Feuil1!AE144</x:f>
        <x:v>0</x:v>
      </x:c>
      <x:c r="F116" s="293" t="n">
        <x:f>Feuil1!AS144</x:f>
        <x:v>-526.5962688788255</x:v>
      </x:c>
      <x:c r="G116" s="293" t="n">
        <x:f>Feuil1!AT144</x:f>
        <x:v>-1488.3112280914247</x:v>
      </x:c>
      <x:c r="I116" t="n">
        <x:f>A96</x:f>
        <x:v>184</x:v>
      </x:c>
      <x:c r="J116" t="n">
        <x:f>F96</x:f>
        <x:v>-52.879948426344015</x:v>
      </x:c>
      <x:c r="K116" t="n">
        <x:f>G96</x:f>
        <x:v>-1933.514856143278</x:v>
      </x:c>
    </x:row>
    <x:row r="117">
      <x:c r="A117" s="293" t="n">
        <x:f>Feuil1!A145</x:f>
        <x:v>226</x:v>
      </x:c>
      <x:c r="B117" s="293" t="n">
        <x:f>Feuil1!AF145</x:f>
        <x:v>-40.04030403277511</x:v>
      </x:c>
      <x:c r="C117" s="293" t="n">
        <x:f>Feuil1!BE145</x:f>
        <x:v>-9.646274754033431</x:v>
      </x:c>
      <x:c r="D117" s="293" t="n">
        <x:f>B117+C117</x:f>
        <x:v>-49.68657878680854</x:v>
      </x:c>
      <x:c r="E117" s="293" t="n">
        <x:f>Feuil1!AE145</x:f>
        <x:v>0</x:v>
      </x:c>
      <x:c r="F117" s="293" t="n">
        <x:f>Feuil1!AS145</x:f>
        <x:v>-545.3063995530331</x:v>
      </x:c>
      <x:c r="G117" s="293" t="n">
        <x:f>Feuil1!AT145</x:f>
        <x:v>-1446.7461947120896</x:v>
      </x:c>
      <x:c r="I117" t="n">
        <x:f>A97</x:f>
        <x:v>186</x:v>
      </x:c>
      <x:c r="J117" t="n">
        <x:f>F97</x:f>
        <x:v>-79.2393802323476</x:v>
      </x:c>
      <x:c r="K117" t="n">
        <x:f>G97</x:f>
        <x:v>-1928.878793934728</x:v>
      </x:c>
    </x:row>
    <x:row r="118">
      <x:c r="A118" s="293" t="n">
        <x:f>Feuil1!A146</x:f>
        <x:v>228</x:v>
      </x:c>
      <x:c r="B118" s="293" t="n">
        <x:f>Feuil1!AF146</x:f>
        <x:v>-119.92583976191418</x:v>
      </x:c>
      <x:c r="C118" s="293" t="n">
        <x:f>Feuil1!BE146</x:f>
        <x:v>67.48279266100897</x:v>
      </x:c>
      <x:c r="D118" s="293" t="n">
        <x:f>B118+C118</x:f>
        <x:v>-52.443047100905204</x:v>
      </x:c>
      <x:c r="E118" s="293" t="n">
        <x:f>Feuil1!AE146</x:f>
        <x:v>0</x:v>
      </x:c>
      <x:c r="F118" s="293" t="n">
        <x:f>Feuil1!AS146</x:f>
        <x:v>-563.352158377397</x:v>
      </x:c>
      <x:c r="G118" s="293" t="n">
        <x:f>Feuil1!AT146</x:f>
        <x:v>-1403.4008652567525</x:v>
      </x:c>
      <x:c r="I118" t="n">
        <x:f>A98</x:f>
        <x:v>188</x:v>
      </x:c>
      <x:c r="J118" t="n">
        <x:f>F98</x:f>
        <x:v>-105.50227105942906</x:v>
      </x:c>
      <x:c r="K118" t="n">
        <x:f>G98</x:f>
        <x:v>-1922.3876200145278</x:v>
      </x:c>
    </x:row>
    <x:row r="119">
      <x:c r="A119" s="293" t="n">
        <x:f>Feuil1!A147</x:f>
        <x:v>230</x:v>
      </x:c>
      <x:c r="B119" s="293" t="n">
        <x:f>Feuil1!AF147</x:f>
        <x:v>-199.22710885464085</x:v>
      </x:c>
      <x:c r="C119" s="293" t="n">
        <x:f>Feuil1!BE147</x:f>
        <x:v>144.28309069355552</x:v>
      </x:c>
      <x:c r="D119" s="293" t="n">
        <x:f>B119+C119</x:f>
        <x:v>-54.944018161085324</x:v>
      </x:c>
      <x:c r="E119" s="293" t="n">
        <x:f>Feuil1!AE147</x:f>
        <x:v>0</x:v>
      </x:c>
      <x:c r="F119" s="293" t="n">
        <x:f>Feuil1!AS147</x:f>
        <x:v>-580.7115593745259</x:v>
      </x:c>
      <x:c r="G119" s="293" t="n">
        <x:f>Feuil1!AT147</x:f>
        <x:v>-1358.292817980063</x:v>
      </x:c>
      <x:c r="I119" t="n">
        <x:f>A99</x:f>
        <x:v>190</x:v>
      </x:c>
      <x:c r="J119" t="n">
        <x:f>F99</x:f>
        <x:v>-131.63662362060361</x:v>
      </x:c>
      <x:c r="K119" t="n">
        <x:f>G99</x:f>
        <x:v>-1914.0406988297696</x:v>
      </x:c>
    </x:row>
    <x:row r="120">
      <x:c r="A120" s="293" t="n">
        <x:f>Feuil1!A148</x:f>
        <x:v>232</x:v>
      </x:c>
      <x:c r="B120" s="293" t="n">
        <x:f>Feuil1!AF148</x:f>
        <x:v>-277.5577634992626</x:v>
      </x:c>
      <x:c r="C120" s="293" t="n">
        <x:f>Feuil1!BE148</x:f>
        <x:v>220.38045601152666</x:v>
      </x:c>
      <x:c r="D120" s="293" t="n">
        <x:f>B120+C120</x:f>
        <x:v>-57.17730748773593</x:v>
      </x:c>
      <x:c r="E120" s="293" t="n">
        <x:f>Feuil1!AE148</x:f>
        <x:v>0</x:v>
      </x:c>
      <x:c r="F120" s="293" t="n">
        <x:f>Feuil1!AS148</x:f>
        <x:v>-597.3634527883153</x:v>
      </x:c>
      <x:c r="G120" s="293" t="n">
        <x:f>Feuil1!AT148</x:f>
        <x:v>-1311.4420364117934</x:v>
      </x:c>
      <x:c r="I120" t="n">
        <x:f>A100</x:f>
        <x:v>192</x:v>
      </x:c>
      <x:c r="J120" t="n">
        <x:f>F100</x:f>
        <x:v>-157.61059723296356</x:v>
      </x:c>
      <x:c r="K120" t="n">
        <x:f>G100</x:f>
        <x:v>-1903.8372861463718</x:v>
      </x:c>
    </x:row>
    <x:row r="121">
      <x:c r="A121" s="293" t="n">
        <x:f>Feuil1!A149</x:f>
        <x:v>234</x:v>
      </x:c>
      <x:c r="B121" s="293" t="n">
        <x:f>Feuil1!AF149</x:f>
        <x:v>-354.5361846201263</x:v>
      </x:c>
      <x:c r="C121" s="293" t="n">
        <x:f>Feuil1!BE149</x:f>
        <x:v>295.4041499003775</x:v>
      </x:c>
      <x:c r="D121" s="293" t="n">
        <x:f>B121+C121</x:f>
        <x:v>-59.13203471974879</x:v>
      </x:c>
      <x:c r="E121" s="293" t="n">
        <x:f>Feuil1!AE149</x:f>
        <x:v>0</x:v>
      </x:c>
      <x:c r="F121" s="293" t="n">
        <x:f>Feuil1!AS149</x:f>
        <x:v>-613.2875508516677</x:v>
      </x:c>
      <x:c r="G121" s="293" t="n">
        <x:f>Feuil1!AT149</x:f>
        <x:v>-1262.8710553982214</x:v>
      </x:c>
      <x:c r="I121" t="n">
        <x:f>A101</x:f>
        <x:v>194</x:v>
      </x:c>
      <x:c r="J121" t="n">
        <x:f>F101</x:f>
        <x:v>-183.39254661064706</x:v>
      </x:c>
      <x:c r="K121" t="n">
        <x:f>G101</x:f>
        <x:v>-1891.776583126131</x:v>
      </x:c>
    </x:row>
    <x:row r="122">
      <x:c r="A122" s="293" t="n">
        <x:f>Feuil1!A150</x:f>
        <x:v>236</x:v>
      </x:c>
      <x:c r="B122" s="293" t="n">
        <x:f>Feuil1!AF150</x:f>
        <x:v>-429.7873410873781</x:v>
      </x:c>
      <x:c r="C122" s="293" t="n">
        <x:f>Feuil1!BE150</x:f>
        <x:v>368.98866446483316</x:v>
      </x:c>
      <x:c r="D122" s="293" t="n">
        <x:f>B122+C122</x:f>
        <x:v>-60.79867662254492</x:v>
      </x:c>
      <x:c r="E122" s="293" t="n">
        <x:f>Feuil1!AE150</x:f>
        <x:v>0</x:v>
      </x:c>
      <x:c r="F122" s="293" t="n">
        <x:f>Feuil1!AS150</x:f>
        <x:v>-628.4644525040129</x:v>
      </x:c>
      <x:c r="G122" s="293" t="n">
        <x:f>Feuil1!AT150</x:f>
        <x:v>-1212.6051019496508</x:v>
      </x:c>
      <x:c r="I122" t="n">
        <x:f>A102</x:f>
        <x:v>196</x:v>
      </x:c>
      <x:c r="J122" t="n">
        <x:f>F102</x:f>
        <x:v>-208.95106041974128</x:v>
      </x:c>
      <x:c r="K122" t="n">
        <x:f>G102</x:f>
        <x:v>-1877.8578017558193</x:v>
      </x:c>
    </x:row>
    <x:row r="123">
      <x:c r="A123" s="293" t="n">
        <x:f>Feuil1!A151</x:f>
        <x:v>238</x:v>
      </x:c>
      <x:c r="B123" s="293" t="n">
        <x:f>Feuil1!AF151</x:f>
        <x:v>-502.9446168309182</x:v>
      </x:c>
      <x:c r="C123" s="293" t="n">
        <x:f>Feuil1!BE151</x:f>
        <x:v>440.7755033466289</x:v>
      </x:c>
      <x:c r="D123" s="293" t="n">
        <x:f>B123+C123</x:f>
        <x:v>-62.16911348428931</x:v>
      </x:c>
      <x:c r="E123" s="293" t="n">
        <x:f>Feuil1!AE151</x:f>
        <x:v>0</x:v>
      </x:c>
      <x:c r="F123" s="293" t="n">
        <x:f>Feuil1!AS151</x:f>
        <x:v>-642.8756670285095</x:v>
      </x:c>
      <x:c r="G123" s="293" t="n">
        <x:f>Feuil1!AT151</x:f>
        <x:v>-1160.672229902518</x:v>
      </x:c>
      <x:c r="I123" t="n">
        <x:f>A103</x:f>
        <x:v>198</x:v>
      </x:c>
      <x:c r="J123" t="n">
        <x:f>F103</x:f>
        <x:v>-234.25499954815768</x:v>
      </x:c>
      <x:c r="K123" t="n">
        <x:f>G103</x:f>
        <x:v>-1862.0802412345997</x:v>
      </x:c>
    </x:row>
    <x:row r="124">
      <x:c r="A124" s="293" t="n">
        <x:f>Feuil1!A152</x:f>
        <x:v>240</x:v>
      </x:c>
      <x:c r="B124" s="293" t="n">
        <x:f>Feuil1!AF152</x:f>
        <x:v>-573.6515969570792</x:v>
      </x:c>
      <x:c r="C124" s="293" t="n">
        <x:f>Feuil1!BE152</x:f>
        <x:v>510.41492828271663</x:v>
      </x:c>
      <x:c r="D124" s="293" t="n">
        <x:f>B124+C124</x:f>
        <x:v>-63.236668674362534</x:v>
      </x:c>
      <x:c r="E124" s="293" t="n">
        <x:f>Feuil1!AE152</x:f>
        <x:v>0</x:v>
      </x:c>
      <x:c r="F124" s="293" t="n">
        <x:f>Feuil1!AS152</x:f>
        <x:v>-656.5036365801368</x:v>
      </x:c>
      <x:c r="G124" s="293" t="n">
        <x:f>Feuil1!AT152</x:f>
        <x:v>-1107.103447426196</x:v>
      </x:c>
      <x:c r="I124" t="n">
        <x:f>A104</x:f>
        <x:v>200</x:v>
      </x:c>
      <x:c r="J124" t="n">
        <x:f>F104</x:f>
        <x:v>-259.273535043841</x:v>
      </x:c>
      <x:c r="K124" t="n">
        <x:f>G104</x:f>
        <x:v>-1844.4433748592144</x:v>
      </x:c>
    </x:row>
    <x:row r="125">
      <x:c r="A125" s="293" t="n">
        <x:f>Feuil1!A153</x:f>
        <x:v>242</x:v>
      </x:c>
      <x:c r="B125" s="293" t="n">
        <x:f>Feuil1!AF153</x:f>
        <x:v>-641.5638041661173</x:v>
      </x:c>
      <x:c r="C125" s="293" t="n">
        <x:f>Feuil1!BE153</x:f>
        <x:v>577.5676629949403</x:v>
      </x:c>
      <x:c r="D125" s="293" t="n">
        <x:f>B125+C125</x:f>
        <x:v>-63.99614117117699</x:v>
      </x:c>
      <x:c r="E125" s="293" t="n">
        <x:f>Feuil1!AE153</x:f>
        <x:v>0</x:v>
      </x:c>
      <x:c r="F125" s="293" t="n">
        <x:f>Feuil1!AS153</x:f>
        <x:v>-669.3317575772245</x:v>
      </x:c>
      <x:c r="G125" s="293" t="n">
        <x:f>Feuil1!AT153</x:f>
        <x:v>-1051.9328364314586</x:v>
      </x:c>
      <x:c r="I125" t="n">
        <x:f>A105</x:f>
        <x:v>202</x:v>
      </x:c>
      <x:c r="J125" t="n">
        <x:f>F105</x:f>
        <x:v>-283.97618567509977</x:v>
      </x:c>
      <x:c r="K125" t="n">
        <x:f>G105</x:f>
        <x:v>-1824.9469468819616</x:v>
      </x:c>
    </x:row>
    <x:row r="126">
      <x:c r="A126" s="293" t="n">
        <x:f>Feuil1!A154</x:f>
        <x:v>244</x:v>
      </x:c>
      <x:c r="B126" s="293" t="n">
        <x:f>Feuil1!AF154</x:f>
        <x:v>-706.3503770110274</x:v>
      </x:c>
      <x:c r="C126" s="293" t="n">
        <x:f>Feuil1!BE154</x:f>
        <x:v>641.9065461099526</x:v>
      </x:c>
      <x:c r="D126" s="293" t="n">
        <x:f>B126+C126</x:f>
        <x:v>-64.44383090107476</x:v>
      </x:c>
      <x:c r="E126" s="293" t="n">
        <x:f>Feuil1!AE154</x:f>
        <x:v>0</x:v>
      </x:c>
      <x:c r="F126" s="293" t="n">
        <x:f>Feuil1!AS154</x:f>
        <x:v>-681.3444009303571</x:v>
      </x:c>
      <x:c r="G126" s="293" t="n">
        <x:f>Feuil1!AT154</x:f>
        <x:v>-995.1976629693072</x:v>
      </x:c>
      <x:c r="I126" t="n">
        <x:f>A106</x:f>
        <x:v>204</x:v>
      </x:c>
      <x:c r="J126" t="n">
        <x:f>F106</x:f>
        <x:v>-308.3328550672913</x:v>
      </x:c>
      <x:c r="K126" t="n">
        <x:f>G106</x:f>
        <x:v>-1803.5910787546823</x:v>
      </x:c>
    </x:row>
    <x:row r="127">
      <x:c r="A127" s="293" t="n">
        <x:f>Feuil1!A155</x:f>
        <x:v>246</x:v>
      </x:c>
      <x:c r="B127" s="293" t="n">
        <x:f>Feuil1!AF155</x:f>
        <x:v>-767.6956818212327</x:v>
      </x:c>
      <x:c r="C127" s="293" t="n">
        <x:f>Feuil1!BE155</x:f>
        <x:v>703.1181250565361</x:v>
      </x:c>
      <x:c r="D127" s="293" t="n">
        <x:f>B127+C127</x:f>
        <x:v>-64.57755676469662</x:v>
      </x:c>
      <x:c r="E127" s="293" t="n">
        <x:f>Feuil1!AE155</x:f>
        <x:v>0</x:v>
      </x:c>
      <x:c r="F127" s="293" t="n">
        <x:f>Feuil1!AS155</x:f>
        <x:v>-692.5269310840158</x:v>
      </x:c>
      <x:c r="G127" s="293" t="n">
        <x:f>Feuil1!AT155</x:f>
        <x:v>-936.9384777455083</x:v>
      </x:c>
      <x:c r="I127" t="n">
        <x:f>A107</x:f>
        <x:v>206</x:v>
      </x:c>
      <x:c r="J127" t="n">
        <x:f>F107</x:f>
        <x:v>-332.31386837061905</x:v>
      </x:c>
      <x:c r="K127" t="n">
        <x:f>G107</x:f>
        <x:v>-1780.3763841132395</x:v>
      </x:c>
    </x:row>
    <x:row r="128">
      <x:c r="A128" s="293" t="n">
        <x:f>Feuil1!A156</x:f>
        <x:v>248</x:v>
      </x:c>
      <x:c r="B128" s="293" t="n">
        <x:f>Feuil1!AF156</x:f>
        <x:v>-825.3008504381037</x:v>
      </x:c>
      <x:c r="C128" s="293" t="n">
        <x:f>Feuil1!BE156</x:f>
        <x:v>760.9041831750324</x:v>
      </x:c>
      <x:c r="D128" s="293" t="n">
        <x:f>B128+C128</x:f>
        <x:v>-64.39666726307132</x:v>
      </x:c>
      <x:c r="E128" s="293" t="n">
        <x:f>Feuil1!AE156</x:f>
        <x:v>0</x:v>
      </x:c>
      <x:c r="F128" s="293" t="n">
        <x:f>Feuil1!AS156</x:f>
        <x:v>-702.8657238477444</x:v>
      </x:c>
      <x:c r="G128" s="293" t="n">
        <x:f>Feuil1!AT156</x:f>
        <x:v>-877.1992059174947</x:v>
      </x:c>
      <x:c r="I128" t="n">
        <x:f>A108</x:f>
        <x:v>208</x:v>
      </x:c>
      <x:c r="J128" t="n">
        <x:f>F108</x:f>
        <x:v>-355.89000841436456</x:v>
      </x:c>
      <x:c r="K128" t="n">
        <x:f>G108</x:f>
        <x:v>-1755.3040918014794</x:v>
      </x:c>
    </x:row>
    <x:row r="129">
      <x:c r="A129" s="293" t="n">
        <x:f>Feuil1!A157</x:f>
        <x:v>250</x:v>
      </x:c>
      <x:c r="B129" s="293" t="n">
        <x:f>Feuil1!AF157</x:f>
        <x:v>-878.885236270592</x:v>
      </x:c>
      <x:c r="C129" s="293" t="n">
        <x:f>Feuil1!BE157</x:f>
        <x:v>814.9831925989196</x:v>
      </x:c>
      <x:c r="D129" s="293" t="n">
        <x:f>B129+C129</x:f>
        <x:v>-63.90204367167246</x:v>
      </x:c>
      <x:c r="E129" s="293" t="n">
        <x:f>Feuil1!AE157</x:f>
        <x:v>0</x:v>
      </x:c>
      <x:c r="F129" s="293" t="n">
        <x:f>Feuil1!AS157</x:f>
        <x:v>-712.3481829951295</x:v>
      </x:c>
      <x:c r="G129" s="293" t="n">
        <x:f>Feuil1!AT157</x:f>
        <x:v>-816.0272253860287</x:v>
      </x:c>
      <x:c r="I129" t="n">
        <x:f>A109</x:f>
        <x:v>210</x:v>
      </x:c>
      <x:c r="J129" t="n">
        <x:f>F109</x:f>
        <x:v>-379.0325513035102</x:v>
      </x:c>
      <x:c r="K129" t="n">
        <x:f>G109</x:f>
        <x:v>-1728.3761761817814</x:v>
      </x:c>
    </x:row>
    <x:row r="130">
      <x:c r="A130" s="293" t="n">
        <x:f>Feuil1!A158</x:f>
        <x:v>252</x:v>
      </x:c>
      <x:c r="B130" s="293" t="n">
        <x:f>Feuil1!AF158</x:f>
        <x:v>-928.1877815772061</x:v>
      </x:c>
      <x:c r="C130" s="293" t="n">
        <x:f>Feuil1!BE158</x:f>
        <x:v>865.0916858302902</x:v>
      </x:c>
      <x:c r="D130" s="293" t="n">
        <x:f>B130+C130</x:f>
        <x:v>-63.09609574691592</x:v>
      </x:c>
      <x:c r="E130" s="293" t="n">
        <x:f>Feuil1!AE158</x:f>
        <x:v>0</x:v>
      </x:c>
      <x:c r="F130" s="293" t="n">
        <x:f>Feuil1!AS158</x:f>
        <x:v>-720.9627556103611</x:v>
      </x:c>
      <x:c r="G130" s="293" t="n">
        <x:f>Feuil1!AT158</x:f>
        <x:v>-753.4734328441098</x:v>
      </x:c>
      <x:c r="I130" t="n">
        <x:f>A110</x:f>
        <x:v>212</x:v>
      </x:c>
      <x:c r="J130" t="n">
        <x:f>F110</x:f>
        <x:v>-401.71330141438125</x:v>
      </x:c>
      <x:c r="K130" t="n">
        <x:f>G110</x:f>
        <x:v>-1699.5954939312855</x:v>
      </x:c>
    </x:row>
    <x:row r="131">
      <x:c r="A131" s="293" t="n">
        <x:f>Feuil1!A159</x:f>
        <x:v>254</x:v>
      </x:c>
      <x:c r="B131" s="293" t="n">
        <x:f>Feuil1!AF159</x:f>
        <x:v>-972.9682893130832</x:v>
      </x:c>
      <x:c r="C131" s="293" t="n">
        <x:f>Feuil1!BE159</x:f>
        <x:v>910.9855393270064</x:v>
      </x:c>
      <x:c r="D131" s="293" t="n">
        <x:f>B131+C131</x:f>
        <x:v>-61.98274998607678</x:v>
      </x:c>
      <x:c r="E131" s="293" t="n">
        <x:f>Feuil1!AE159</x:f>
        <x:v>0</x:v>
      </x:c>
      <x:c r="F131" s="293" t="n">
        <x:f>Feuil1!AS159</x:f>
        <x:v>-728.6989461636804</x:v>
      </x:c>
      <x:c r="G131" s="293" t="n">
        <x:f>Feuil1!AT159</x:f>
        <x:v>-689.5922968996492</x:v>
      </x:c>
      <x:c r="I131" t="n">
        <x:f>A111</x:f>
        <x:v>214</x:v>
      </x:c>
      <x:c r="J131" t="n">
        <x:f>F111</x:f>
        <x:v>-423.90462574666924</x:v>
      </x:c>
      <x:c r="K131" t="n">
        <x:f>G111</x:f>
        <x:v>-1668.9659264789552</x:v>
      </x:c>
    </x:row>
    <x:row r="132">
      <x:c r="A132" s="293" t="n">
        <x:f>Feuil1!A160</x:f>
        <x:v>256</x:v>
      </x:c>
      <x:c r="B132" s="293" t="n">
        <x:f>Feuil1!AF160</x:f>
        <x:v>-1013.0085933458579</x:v>
      </x:c>
      <x:c r="C132" s="293" t="n">
        <x:f>Feuil1!BE160</x:f>
        <x:v>952.4411628480689</x:v>
      </x:c>
      <x:c r="D132" s="293" t="n">
        <x:f>B132+C132</x:f>
        <x:v>-60.56743049778902</x:v>
      </x:c>
      <x:c r="E132" s="293" t="n">
        <x:f>Feuil1!AE160</x:f>
        <x:v>0</x:v>
      </x:c>
      <x:c r="F132" s="293" t="n">
        <x:f>Feuil1!AS160</x:f>
        <x:v>-735.5473292985669</x:v>
      </x:c>
      <x:c r="G132" s="293" t="n">
        <x:f>Feuil1!AT160</x:f>
        <x:v>-624.4418976462557</x:v>
      </x:c>
      <x:c r="I132" t="n">
        <x:f>A112</x:f>
        <x:v>216</x:v>
      </x:c>
      <x:c r="J132" t="n">
        <x:f>F112</x:f>
        <x:v>-445.57948758998725</x:v>
      </x:c>
      <x:c r="K132" t="n">
        <x:f>G112</x:f>
        <x:v>-1636.492527199036</x:v>
      </x:c>
    </x:row>
    <x:row r="133">
      <x:c r="A133" s="293" t="n">
        <x:f>Feuil1!A161</x:f>
        <x:v>258</x:v>
      </x:c>
      <x:c r="B133" s="293" t="n">
        <x:f>Feuil1!AF161</x:f>
        <x:v>-1048.1136213391262</x:v>
      </x:c>
      <x:c r="C133" s="293" t="n">
        <x:f>Feuil1!BE161</x:f>
        <x:v>989.2565887627856</x:v>
      </x:c>
      <x:c r="D133" s="293" t="n">
        <x:f>B133+C133</x:f>
        <x:v>-58.85703257634066</x:v>
      </x:c>
      <x:c r="E133" s="293" t="n">
        <x:f>Feuil1!AE161</x:f>
        <x:v>0</x:v>
      </x:c>
      <x:c r="F133" s="293" t="n">
        <x:f>Feuil1!AS161</x:f>
        <x:v>-741.4995613150834</x:v>
      </x:c>
      <x:c r="G133" s="293" t="n">
        <x:f>Feuil1!AT161</x:f>
        <x:v>-558.083952117855</x:v>
      </x:c>
      <x:c r="I133" t="n">
        <x:f>A113</x:f>
        <x:v>218</x:v>
      </x:c>
      <x:c r="J133" t="n">
        <x:f>F113</x:f>
        <x:v>-466.71147946393467</x:v>
      </x:c>
      <x:c r="K133" t="n">
        <x:f>G113</x:f>
        <x:v>-1602.181672441443</x:v>
      </x:c>
    </x:row>
    <x:row r="134">
      <x:c r="A134" s="293" t="n">
        <x:f>Feuil1!A162</x:f>
        <x:v>260</x:v>
      </x:c>
      <x:c r="B134" s="293" t="n">
        <x:f>Feuil1!AF162</x:f>
        <x:v>-1078.1123451252352</x:v>
      </x:c>
      <x:c r="C134" s="293" t="n">
        <x:f>Feuil1!BE162</x:f>
        <x:v>1021.2524560167745</x:v>
      </x:c>
      <x:c r="D134" s="293" t="n">
        <x:f>B134+C134</x:f>
        <x:v>-56.85988910846061</x:v>
      </x:c>
      <x:c r="E134" s="293" t="n">
        <x:f>Feuil1!AE162</x:f>
        <x:v>0</x:v>
      </x:c>
      <x:c r="F134" s="293" t="n">
        <x:f>Feuil1!AS162</x:f>
        <x:v>-746.5483903353891</x:v>
      </x:c>
      <x:c r="G134" s="293" t="n">
        <x:f>Feuil1!AT162</x:f>
        <x:v>-490.5838251273678</x:v>
      </x:c>
      <x:c r="I134" t="n">
        <x:f>A114</x:f>
        <x:v>220</x:v>
      </x:c>
      <x:c r="J134" t="n">
        <x:f>F114</x:f>
        <x:v>-487.2748552915478</x:v>
      </x:c>
      <x:c r="K134" t="n">
        <x:f>G114</x:f>
        <x:v>-1566.041215449242</x:v>
      </x:c>
    </x:row>
    <x:row r="135">
      <x:c r="A135" s="293" t="n">
        <x:f>Feuil1!A163</x:f>
        <x:v>262</x:v>
      </x:c>
      <x:c r="B135" s="293" t="n">
        <x:f>Feuil1!AF163</x:f>
        <x:v>-1102.8586139373701</x:v>
      </x:c>
      <x:c r="C135" s="293" t="n">
        <x:f>Feuil1!BE163</x:f>
        <x:v>1048.2728839609883</x:v>
      </x:c>
      <x:c r="D135" s="293" t="n">
        <x:f>B135+C135</x:f>
        <x:v>-54.5857299763818</x:v>
      </x:c>
      <x:c r="E135" s="293" t="n">
        <x:f>Feuil1!AE163</x:f>
        <x:v>0</x:v>
      </x:c>
      <x:c r="F135" s="293" t="n">
        <x:f>Feuil1!AS163</x:f>
        <x:v>-750.6876651390348</x:v>
      </x:c>
      <x:c r="G135" s="293" t="n">
        <x:f>Feuil1!AT163</x:f>
        <x:v>-422.01052505709</x:v>
      </x:c>
      <x:c r="I135" t="n">
        <x:f>A115</x:f>
        <x:v>222</x:v>
      </x:c>
      <x:c r="J135" t="n">
        <x:f>F115</x:f>
        <x:v>-507.24456176692587</x:v>
      </x:c>
      <x:c r="K135" t="n">
        <x:f>G115</x:f>
        <x:v>-1528.0806421880134</x:v>
      </x:c>
    </x:row>
    <x:row r="136">
      <x:c r="A136" s="293" t="n">
        <x:f>Feuil1!A164</x:f>
        <x:v>264</x:v>
      </x:c>
      <x:c r="B136" s="293" t="n">
        <x:f>Feuil1!AF164</x:f>
        <x:v>-1122.2318664413624</x:v>
      </x:c>
      <x:c r="C136" s="293" t="n">
        <x:f>Feuil1!BE164</x:f>
        <x:v>1070.1862317865655</x:v>
      </x:c>
      <x:c r="D136" s="293" t="n">
        <x:f>B136+C136</x:f>
        <x:v>-52.04563465479691</x:v>
      </x:c>
      <x:c r="E136" s="293" t="n">
        <x:f>Feuil1!AE164</x:f>
        <x:v>0</x:v>
      </x:c>
      <x:c r="F136" s="293" t="n">
        <x:f>Feuil1!AS164</x:f>
        <x:v>-753.9123426572787</x:v>
      </x:c>
      <x:c r="G136" s="293" t="n">
        <x:f>Feuil1!AT164</x:f>
        <x:v>-352.43668423845344</x:v>
      </x:c>
      <x:c r="I136" t="n">
        <x:f>A116</x:f>
        <x:v>224</x:v>
      </x:c>
      <x:c r="J136" t="n">
        <x:f>F116</x:f>
        <x:v>-526.5962688788255</x:v>
      </x:c>
      <x:c r="K136" t="n">
        <x:f>G116</x:f>
        <x:v>-1488.3112280914247</x:v>
      </x:c>
    </x:row>
    <x:row r="137">
      <x:c r="A137" s="293" t="n">
        <x:f>Feuil1!A165</x:f>
        <x:v>266</x:v>
      </x:c>
      <x:c r="B137" s="293" t="n">
        <x:f>Feuil1!AF165</x:f>
        <x:v>-1136.137718098405</x:v>
      </x:c>
      <x:c r="C137" s="293" t="n">
        <x:f>Feuil1!BE165</x:f>
        <x:v>1086.8857398656228</x:v>
      </x:c>
      <x:c r="D137" s="293" t="n">
        <x:f>B137+C137</x:f>
        <x:v>-49.25197823278222</x:v>
      </x:c>
      <x:c r="E137" s="293" t="n">
        <x:f>Feuil1!AE165</x:f>
        <x:v>0</x:v>
      </x:c>
      <x:c r="F137" s="293" t="n">
        <x:f>Feuil1!AS165</x:f>
        <x:v>-756.2184941172886</x:v>
      </x:c>
      <x:c r="G137" s="293" t="n">
        <x:f>Feuil1!AT165</x:f>
        <x:v>-281.9385236310225</x:v>
      </x:c>
      <x:c r="I137" t="n">
        <x:f>A117</x:f>
        <x:v>226</x:v>
      </x:c>
      <x:c r="J137" t="n">
        <x:f>F117</x:f>
        <x:v>-545.3063995530331</x:v>
      </x:c>
      <x:c r="K137" t="n">
        <x:f>G117</x:f>
        <x:v>-1446.7461947120896</x:v>
      </x:c>
    </x:row>
    <x:row r="138">
      <x:c r="A138" s="293" t="n">
        <x:f>Feuil1!A166</x:f>
        <x:v>268</x:v>
      </x:c>
      <x:c r="B138" s="293" t="n">
        <x:f>Feuil1!AF166</x:f>
        <x:v>-1144.5084209970387</x:v>
      </x:c>
      <x:c r="C138" s="293" t="n">
        <x:f>Feuil1!BE166</x:f>
        <x:v>1098.290049873427</x:v>
      </x:c>
      <x:c r="D138" s="293" t="n">
        <x:f>B138+C138</x:f>
        <x:v>-46.21837112361163</x:v>
      </x:c>
      <x:c r="E138" s="293" t="n">
        <x:f>Feuil1!AE166</x:f>
        <x:v>0</x:v>
      </x:c>
      <x:c r="F138" s="293" t="n">
        <x:f>Feuil1!AS166</x:f>
        <x:v>-757.603309828746</x:v>
      </x:c>
      <x:c r="G138" s="293" t="n">
        <x:f>Feuil1!AT166</x:f>
        <x:v>-210.59580158474643</x:v>
      </x:c>
      <x:c r="I138" t="n">
        <x:f>A118</x:f>
        <x:v>228</x:v>
      </x:c>
      <x:c r="J138" t="n">
        <x:f>F118</x:f>
        <x:v>-563.352158377397</x:v>
      </x:c>
      <x:c r="K138" t="n">
        <x:f>G118</x:f>
        <x:v>-1403.4008652567525</x:v>
      </x:c>
    </x:row>
    <x:row r="139">
      <x:c r="A139" s="293" t="n">
        <x:f>Feuil1!A167</x:f>
        <x:v>270</x:v>
      </x:c>
      <x:c r="B139" s="293" t="n">
        <x:f>Feuil1!AF167</x:f>
        <x:v>-1147.3031939141542</x:v>
      </x:c>
      <x:c r="C139" s="293" t="n">
        <x:f>Feuil1!BE167</x:f>
        <x:v>1104.3436011579777</x:v>
      </x:c>
      <x:c r="D139" s="293" t="n">
        <x:f>B139+C139</x:f>
        <x:v>-42.95959275617656</x:v>
      </x:c>
      <x:c r="E139" s="293" t="n">
        <x:f>Feuil1!AE167</x:f>
        <x:v>0</x:v>
      </x:c>
      <x:c r="F139" s="293" t="n">
        <x:f>Feuil1!AS167</x:f>
        <x:v>-758.0651026070207</x:v>
      </x:c>
      <x:c r="G139" s="293" t="n">
        <x:f>Feuil1!AT167</x:f>
        <x:v>-138.49174654507652</x:v>
      </x:c>
      <x:c r="I139" t="n">
        <x:f>A119</x:f>
        <x:v>230</x:v>
      </x:c>
      <x:c r="J139" t="n">
        <x:f>F119</x:f>
        <x:v>-580.7115593745259</x:v>
      </x:c>
      <x:c r="K139" t="n">
        <x:f>G119</x:f>
        <x:v>-1358.292817980063</x:v>
      </x:c>
    </x:row>
    <x:row r="140">
      <x:c r="A140" s="293" t="n">
        <x:f>Feuil1!A168</x:f>
        <x:v>272</x:v>
      </x:c>
      <x:c r="B140" s="293" t="n">
        <x:f>Feuil1!AF168</x:f>
        <x:v>-1144.5084209970341</x:v>
      </x:c>
      <x:c r="C140" s="293" t="n">
        <x:f>Feuil1!BE168</x:f>
        <x:v>1105.0169014259172</x:v>
      </x:c>
      <x:c r="D140" s="293" t="n">
        <x:f>B140+C140</x:f>
        <x:v>-39.491519571116896</x:v>
      </x:c>
      <x:c r="E140" s="293" t="n">
        <x:f>Feuil1!AE168</x:f>
        <x:v>1.1368683772161603e-13</x:v>
      </x:c>
      <x:c r="F140" s="293" t="n">
        <x:f>Feuil1!AS168</x:f>
        <x:v>-757.6033098287461</x:v>
      </x:c>
      <x:c r="G140" s="293" t="n">
        <x:f>Feuil1!AT168</x:f>
        <x:v>-65.71297363738064</x:v>
      </x:c>
      <x:c r="I140" t="n">
        <x:f>A120</x:f>
        <x:v>232</x:v>
      </x:c>
      <x:c r="J140" t="n">
        <x:f>F120</x:f>
        <x:v>-597.3634527883153</x:v>
      </x:c>
      <x:c r="K140" t="n">
        <x:f>G120</x:f>
        <x:v>-1311.4420364117934</x:v>
      </x:c>
    </x:row>
    <x:row r="141">
      <x:c r="A141" s="293" t="n">
        <x:f>Feuil1!A169</x:f>
        <x:v>274</x:v>
      </x:c>
      <x:c r="B141" s="293" t="n">
        <x:f>Feuil1!AF169</x:f>
        <x:v>-1136.1377180984025</x:v>
      </x:c>
      <x:c r="C141" s="293" t="n">
        <x:f>Feuil1!BE169</x:f>
        <x:v>1100.3066704260204</x:v>
      </x:c>
      <x:c r="D141" s="293" t="n">
        <x:f>B141+C141</x:f>
        <x:v>-35.831047672382056</x:v>
      </x:c>
      <x:c r="E141" s="293" t="n">
        <x:f>Feuil1!AE169</x:f>
        <x:v>0</x:v>
      </x:c>
      <x:c r="F141" s="293" t="n">
        <x:f>Feuil1!AS169</x:f>
        <x:v>-756.2184941172889</x:v>
      </x:c>
      <x:c r="G141" s="293" t="n">
        <x:f>Feuil1!AT169</x:f>
        <x:v>7.650614855342088</x:v>
      </x:c>
      <x:c r="I141" t="n">
        <x:f>A121</x:f>
        <x:v>234</x:v>
      </x:c>
      <x:c r="J141" t="n">
        <x:f>F121</x:f>
        <x:v>-613.2875508516677</x:v>
      </x:c>
      <x:c r="K141" t="n">
        <x:f>G121</x:f>
        <x:v>-1262.8710553982214</x:v>
      </x:c>
    </x:row>
    <x:row r="142">
      <x:c r="A142" s="293" t="n">
        <x:f>Feuil1!A170</x:f>
        <x:v>276</x:v>
      </x:c>
      <x:c r="B142" s="293" t="n">
        <x:f>Feuil1!AF170</x:f>
        <x:v>-1122.2318664413622</x:v>
      </x:c>
      <x:c r="C142" s="293" t="n">
        <x:f>Feuil1!BE170</x:f>
        <x:v>1090.2358559302477</x:v>
      </x:c>
      <x:c r="D142" s="293" t="n">
        <x:f>B142+C142</x:f>
        <x:v>-31.99601051111449</x:v>
      </x:c>
      <x:c r="E142" s="293" t="n">
        <x:f>Feuil1!AE170</x:f>
        <x:v>0</x:v>
      </x:c>
      <x:c r="F142" s="293" t="n">
        <x:f>Feuil1!AS170</x:f>
        <x:v>-753.9123426572787</x:v>
      </x:c>
      <x:c r="G142" s="293" t="n">
        <x:f>Feuil1!AT170</x:f>
        <x:v>81.50594502945158</x:v>
      </x:c>
      <x:c r="I142" t="n">
        <x:f>A122</x:f>
        <x:v>236</x:v>
      </x:c>
      <x:c r="J142" t="n">
        <x:f>F122</x:f>
        <x:v>-628.4644525040129</x:v>
      </x:c>
      <x:c r="K142" t="n">
        <x:f>G122</x:f>
        <x:v>-1212.6051019496508</x:v>
      </x:c>
    </x:row>
    <x:row r="143">
      <x:c r="A143" s="293" t="n">
        <x:f>Feuil1!A171</x:f>
        <x:v>278</x:v>
      </x:c>
      <x:c r="B143" s="293" t="n">
        <x:f>Feuil1!AF171</x:f>
        <x:v>-1102.8586139373679</x:v>
      </x:c>
      <x:c r="C143" s="293" t="n">
        <x:f>Feuil1!BE171</x:f>
        <x:v>1074.8535219345079</x:v>
      </x:c>
      <x:c r="D143" s="293" t="n">
        <x:f>B143+C143</x:f>
        <x:v>-28.00509200286001</x:v>
      </x:c>
      <x:c r="E143" s="293" t="n">
        <x:f>Feuil1!AE171</x:f>
        <x:v>0</x:v>
      </x:c>
      <x:c r="F143" s="293" t="n">
        <x:f>Feuil1!AS171</x:f>
        <x:v>-750.6876651390348</x:v>
      </x:c>
      <x:c r="G143" s="293" t="n">
        <x:f>Feuil1!AT171</x:f>
        <x:v>155.75690274233102</x:v>
      </x:c>
      <x:c r="I143" t="n">
        <x:f>A123</x:f>
        <x:v>238</x:v>
      </x:c>
      <x:c r="J143" t="n">
        <x:f>F123</x:f>
        <x:v>-642.8756670285095</x:v>
      </x:c>
      <x:c r="K143" t="n">
        <x:f>G123</x:f>
        <x:v>-1160.672229902518</x:v>
      </x:c>
    </x:row>
    <x:row r="144">
      <x:c r="A144" s="293" t="n">
        <x:f>Feuil1!A172</x:f>
        <x:v>280</x:v>
      </x:c>
      <x:c r="B144" s="293" t="n">
        <x:f>Feuil1!AF172</x:f>
        <x:v>-1078.1123451252352</x:v>
      </x:c>
      <x:c r="C144" s="293" t="n">
        <x:f>Feuil1!BE172</x:f>
        <x:v>1054.2346096238011</x:v>
      </x:c>
      <x:c r="D144" s="293" t="n">
        <x:f>B144+C144</x:f>
        <x:v>-23.877735501434017</x:v>
      </x:c>
      <x:c r="E144" s="293" t="n">
        <x:f>Feuil1!AE172</x:f>
        <x:v>0</x:v>
      </x:c>
      <x:c r="F144" s="293" t="n">
        <x:f>Feuil1!AS172</x:f>
        <x:v>-746.548390335389</x:v>
      </x:c>
      <x:c r="G144" s="293" t="n">
        <x:f>Feuil1!AT172</x:f>
        <x:v>230.30448059104629</x:v>
      </x:c>
      <x:c r="I144" t="n">
        <x:f>A124</x:f>
        <x:v>240</x:v>
      </x:c>
      <x:c r="J144" t="n">
        <x:f>F124</x:f>
        <x:v>-656.5036365801368</x:v>
      </x:c>
      <x:c r="K144" t="n">
        <x:f>G124</x:f>
        <x:v>-1107.103447426196</x:v>
      </x:c>
    </x:row>
    <x:row r="145">
      <x:c r="A145" s="293" t="n">
        <x:f>Feuil1!A173</x:f>
        <x:v>282</x:v>
      </x:c>
      <x:c r="B145" s="293" t="n">
        <x:f>Feuil1!AF173</x:f>
        <x:v>-1048.1136213391287</x:v>
      </x:c>
      <x:c r="C145" s="293" t="n">
        <x:f>Feuil1!BE173</x:f>
        <x:v>1028.4795722663</x:v>
      </x:c>
      <x:c r="D145" s="293" t="n">
        <x:f>B145+C145</x:f>
        <x:v>-19.634049072828702</x:v>
      </x:c>
      <x:c r="E145" s="293" t="n">
        <x:f>Feuil1!AE173</x:f>
        <x:v>0</x:v>
      </x:c>
      <x:c r="F145" s="293" t="n">
        <x:f>Feuil1!AS173</x:f>
        <x:v>-741.4995613150834</x:v>
      </x:c>
      <x:c r="G145" s="293" t="n">
        <x:f>Feuil1!AT173</x:f>
        <x:v>305.04694016336475</x:v>
      </x:c>
      <x:c r="I145" t="n">
        <x:f>A125</x:f>
        <x:v>242</x:v>
      </x:c>
      <x:c r="J145" t="n">
        <x:f>F125</x:f>
        <x:v>-669.3317575772245</x:v>
      </x:c>
      <x:c r="K145" t="n">
        <x:f>G125</x:f>
        <x:v>-1051.9328364314586</x:v>
      </x:c>
    </x:row>
    <x:row r="146">
      <x:c r="A146" s="293" t="n">
        <x:f>Feuil1!A174</x:f>
        <x:v>284</x:v>
      </x:c>
      <x:c r="B146" s="293" t="n">
        <x:f>Feuil1!AF174</x:f>
        <x:v>-1013.0085933458636</x:v>
      </x:c>
      <x:c r="C146" s="293" t="n">
        <x:f>Feuil1!BE174</x:f>
        <x:v>997.7138858151219</x:v>
      </x:c>
      <x:c r="D146" s="293" t="n">
        <x:f>B146+C146</x:f>
        <x:v>-15.294707530741675</x:v>
      </x:c>
      <x:c r="E146" s="293" t="n">
        <x:f>Feuil1!AE174</x:f>
        <x:v>0</x:v>
      </x:c>
      <x:c r="F146" s="293" t="n">
        <x:f>Feuil1!AS174</x:f>
        <x:v>-735.5473292985669</x:v>
      </x:c>
      <x:c r="G146" s="293" t="n">
        <x:f>Feuil1!AT174</x:f>
        <x:v>379.8799891606475</x:v>
      </x:c>
      <x:c r="I146" t="n">
        <x:f>A126</x:f>
        <x:v>244</x:v>
      </x:c>
      <x:c r="J146" t="n">
        <x:f>F126</x:f>
        <x:v>-681.3444009303571</x:v>
      </x:c>
      <x:c r="K146" t="n">
        <x:f>G126</x:f>
        <x:v>-995.1976629693072</x:v>
      </x:c>
    </x:row>
    <x:row r="147">
      <x:c r="A147" s="293" t="n">
        <x:f>Feuil1!A175</x:f>
        <x:v>286</x:v>
      </x:c>
      <x:c r="B147" s="293" t="n">
        <x:f>Feuil1!AF175</x:f>
        <x:v>-972.9682893130853</x:v>
      </x:c>
      <x:c r="C147" s="293" t="n">
        <x:f>Feuil1!BE175</x:f>
        <x:v>962.0874376021025</x:v>
      </x:c>
      <x:c r="D147" s="293" t="n">
        <x:f>B147+C147</x:f>
        <x:v>-10.880851710982824</x:v>
      </x:c>
      <x:c r="E147" s="293" t="n">
        <x:f>Feuil1!AE175</x:f>
        <x:v>0</x:v>
      </x:c>
      <x:c r="F147" s="293" t="n">
        <x:f>Feuil1!AS175</x:f>
        <x:v>-728.6989461636804</x:v>
      </x:c>
      <x:c r="G147" s="293" t="n">
        <x:f>Feuil1!AT175</x:f>
        <x:v>454.6969729177892</x:v>
      </x:c>
      <x:c r="I147" t="n">
        <x:f>A127</x:f>
        <x:v>246</x:v>
      </x:c>
      <x:c r="J147" t="n">
        <x:f>F127</x:f>
        <x:v>-692.5269310840158</x:v>
      </x:c>
      <x:c r="K147" t="n">
        <x:f>G127</x:f>
        <x:v>-936.9384777455083</x:v>
      </x:c>
    </x:row>
    <x:row r="148">
      <x:c r="A148" s="293" t="n">
        <x:f>Feuil1!A176</x:f>
        <x:v>288</x:v>
      </x:c>
      <x:c r="B148" s="293" t="n">
        <x:f>Feuil1!AF176</x:f>
        <x:v>-928.1877815772073</x:v>
      </x:c>
      <x:c r="C148" s="293" t="n">
        <x:f>Feuil1!BE176</x:f>
        <x:v>921.7737961017757</x:v>
      </x:c>
      <x:c r="D148" s="293" t="n">
        <x:f>B148+C148</x:f>
        <x:v>-6.413985475431559</x:v>
      </x:c>
      <x:c r="E148" s="293" t="n">
        <x:f>Feuil1!AE176</x:f>
        <x:v>0</x:v>
      </x:c>
      <x:c r="F148" s="293" t="n">
        <x:f>Feuil1!AS176</x:f>
        <x:v>-720.9627556103612</x:v>
      </x:c>
      <x:c r="G148" s="293" t="n">
        <x:f>Feuil1!AT176</x:f>
        <x:v>529.38907977284</x:v>
      </x:c>
      <x:c r="I148" t="n">
        <x:f>A128</x:f>
        <x:v>248</x:v>
      </x:c>
      <x:c r="J148" t="n">
        <x:f>F128</x:f>
        <x:v>-702.8657238477444</x:v>
      </x:c>
      <x:c r="K148" t="n">
        <x:f>G128</x:f>
        <x:v>-877.1992059174947</x:v>
      </x:c>
    </x:row>
    <x:row r="149">
      <x:c r="A149" s="293" t="n">
        <x:f>Feuil1!A177</x:f>
        <x:v>290</x:v>
      </x:c>
      <x:c r="B149" s="293" t="n">
        <x:f>Feuil1!AF177</x:f>
        <x:v>-878.8852362705941</x:v>
      </x:c>
      <x:c r="C149" s="293" t="n">
        <x:f>Feuil1!BE177</x:f>
        <x:v>876.9693653232199</x:v>
      </x:c>
      <x:c r="D149" s="293" t="n">
        <x:f>B149+C149</x:f>
        <x:v>-1.9158709473741737</x:v>
      </x:c>
      <x:c r="E149" s="293" t="n">
        <x:f>Feuil1!AE177</x:f>
        <x:v>0</x:v>
      </x:c>
      <x:c r="F149" s="293" t="n">
        <x:f>Feuil1!AS177</x:f>
        <x:v>-712.3481829951298</x:v>
      </x:c>
      <x:c r="G149" s="293" t="n">
        <x:f>Feuil1!AT177</x:f>
        <x:v>603.845559668631</x:v>
      </x:c>
      <x:c r="I149" t="n">
        <x:f>A129</x:f>
        <x:v>250</x:v>
      </x:c>
      <x:c r="J149" t="n">
        <x:f>F129</x:f>
        <x:v>-712.3481829951295</x:v>
      </x:c>
      <x:c r="K149" t="n">
        <x:f>G129</x:f>
        <x:v>-816.0272253860287</x:v>
      </x:c>
    </x:row>
    <x:row r="150">
      <x:c r="A150" s="293" t="n">
        <x:f>Feuil1!A178</x:f>
        <x:v>292</x:v>
      </x:c>
      <x:c r="B150" s="293" t="n">
        <x:f>Feuil1!AF178</x:f>
        <x:v>-825.3008504381028</x:v>
      </x:c>
      <x:c r="C150" s="293" t="n">
        <x:f>Feuil1!BE178</x:f>
        <x:v>827.8924279494607</x:v>
      </x:c>
      <x:c r="D150" s="293" t="n">
        <x:f>B150+C150</x:f>
        <x:v>2.5915775113579684</x:v>
      </x:c>
      <x:c r="E150" s="293" t="n">
        <x:f>Feuil1!AE178</x:f>
        <x:v>0</x:v>
      </x:c>
      <x:c r="F150" s="293" t="n">
        <x:f>Feuil1!AS178</x:f>
        <x:v>-702.8657238477447</x:v>
      </x:c>
      <x:c r="G150" s="293" t="n">
        <x:f>Feuil1!AT178</x:f>
        <x:v>677.9539553009215</x:v>
      </x:c>
      <x:c r="I150" t="n">
        <x:f>A130</x:f>
        <x:v>252</x:v>
      </x:c>
      <x:c r="J150" t="n">
        <x:f>F130</x:f>
        <x:v>-720.9627556103611</x:v>
      </x:c>
      <x:c r="K150" t="n">
        <x:f>G130</x:f>
        <x:v>-753.4734328441098</x:v>
      </x:c>
    </x:row>
    <x:row r="151">
      <x:c r="A151" s="293" t="n">
        <x:f>Feuil1!A179</x:f>
        <x:v>294</x:v>
      </x:c>
      <x:c r="B151" s="293" t="n">
        <x:f>Feuil1!AF179</x:f>
        <x:v>-767.695681821232</x:v>
      </x:c>
      <x:c r="C151" s="293" t="n">
        <x:f>Feuil1!BE179</x:f>
        <x:v>774.7820818861888</x:v>
      </x:c>
      <x:c r="D151" s="293" t="n">
        <x:f>B151+C151</x:f>
        <x:v>7.08640006495682</x:v>
      </x:c>
      <x:c r="E151" s="293" t="n">
        <x:f>Feuil1!AE179</x:f>
        <x:v>0</x:v>
      </x:c>
      <x:c r="F151" s="293" t="n">
        <x:f>Feuil1!AS179</x:f>
        <x:v>-692.5269310840157</x:v>
      </x:c>
      <x:c r="G151" s="293" t="n">
        <x:f>Feuil1!AT179</x:f>
        <x:v>751.600345062701</x:v>
      </x:c>
      <x:c r="I151" t="n">
        <x:f>A131</x:f>
        <x:v>254</x:v>
      </x:c>
      <x:c r="J151" t="n">
        <x:f>F131</x:f>
        <x:v>-728.6989461636804</x:v>
      </x:c>
      <x:c r="K151" t="n">
        <x:f>G131</x:f>
        <x:v>-689.5922968996492</x:v>
      </x:c>
    </x:row>
    <x:row r="152">
      <x:c r="A152" s="293" t="n">
        <x:f>Feuil1!A180</x:f>
        <x:v>296</x:v>
      </x:c>
      <x:c r="B152" s="293" t="n">
        <x:f>Feuil1!AF180</x:f>
        <x:v>-706.3503770110283</x:v>
      </x:c>
      <x:c r="C152" s="293" t="n">
        <x:f>Feuil1!BE180</x:f>
        <x:v>717.8970754007902</x:v>
      </x:c>
      <x:c r="D152" s="293" t="n">
        <x:f>B152+C152</x:f>
        <x:v>11.5466983897619</x:v>
      </x:c>
      <x:c r="E152" s="293" t="n">
        <x:f>Feuil1!AE180</x:f>
        <x:v>0</x:v>
      </x:c>
      <x:c r="F152" s="293" t="n">
        <x:f>Feuil1!AS180</x:f>
        <x:v>-681.3444009303572</x:v>
      </x:c>
      <x:c r="G152" s="293" t="n">
        <x:f>Feuil1!AT180</x:f>
        <x:v>824.6695969725693</x:v>
      </x:c>
      <x:c r="I152" t="n">
        <x:f>A132</x:f>
        <x:v>256</x:v>
      </x:c>
      <x:c r="J152" t="n">
        <x:f>F132</x:f>
        <x:v>-735.5473292985669</x:v>
      </x:c>
      <x:c r="K152" t="n">
        <x:f>G132</x:f>
        <x:v>-624.4418976462557</x:v>
      </x:c>
    </x:row>
    <x:row r="153">
      <x:c r="A153" s="293" t="n">
        <x:f>Feuil1!A181</x:f>
        <x:v>298</x:v>
      </x:c>
      <x:c r="B153" s="293" t="n">
        <x:f>Feuil1!AF181</x:f>
        <x:v>-641.5638041661182</x:v>
      </x:c>
      <x:c r="C153" s="293" t="n">
        <x:f>Feuil1!BE181</x:f>
        <x:v>657.5145465267989</x:v>
      </x:c>
      <x:c r="D153" s="293" t="n">
        <x:f>B153+C153</x:f>
        <x:v>15.950742360680692</x:v>
      </x:c>
      <x:c r="E153" s="293" t="n">
        <x:f>Feuil1!AE181</x:f>
        <x:v>0</x:v>
      </x:c>
      <x:c r="F153" s="293" t="n">
        <x:f>Feuil1!AS181</x:f>
        <x:v>-669.3317575772245</x:v>
      </x:c>
      <x:c r="G153" s="293" t="n">
        <x:f>Feuil1!AT181</x:f>
        <x:v>897.045632716906</x:v>
      </x:c>
      <x:c r="I153" t="n">
        <x:f>A133</x:f>
        <x:v>258</x:v>
      </x:c>
      <x:c r="J153" t="n">
        <x:f>F133</x:f>
        <x:v>-741.4995613150834</x:v>
      </x:c>
      <x:c r="K153" t="n">
        <x:f>G133</x:f>
        <x:v>-558.083952117855</x:v>
      </x:c>
    </x:row>
    <x:row r="154">
      <x:c r="A154" s="293" t="n">
        <x:f>Feuil1!A182</x:f>
        <x:v>300</x:v>
      </x:c>
      <x:c r="B154" s="293" t="n">
        <x:f>Feuil1!AF182</x:f>
        <x:v>-573.6515969570759</x:v>
      </x:c>
      <x:c r="C154" s="293" t="n">
        <x:f>Feuil1!BE182</x:f>
        <x:v>593.9286728752617</x:v>
      </x:c>
      <x:c r="D154" s="293" t="n">
        <x:f>B154+C154</x:f>
        <x:v>20.2770759181858</x:v>
      </x:c>
      <x:c r="E154" s="293" t="n">
        <x:f>Feuil1!AE182</x:f>
        <x:v>0</x:v>
      </x:c>
      <x:c r="F154" s="293" t="n">
        <x:f>Feuil1!AS182</x:f>
        <x:v>-656.503636580137</x:v>
      </x:c>
      <x:c r="G154" s="293" t="n">
        <x:f>Feuil1!AT182</x:f>
        <x:v>968.6117008811198</x:v>
      </x:c>
      <x:c r="I154" t="n">
        <x:f>A134</x:f>
        <x:v>260</x:v>
      </x:c>
      <x:c r="J154" t="n">
        <x:f>F134</x:f>
        <x:v>-746.5483903353891</x:v>
      </x:c>
      <x:c r="K154" t="n">
        <x:f>G134</x:f>
        <x:v>-490.5838251273678</x:v>
      </x:c>
    </x:row>
    <x:row r="155">
      <x:c r="A155" s="293" t="n">
        <x:f>Feuil1!A183</x:f>
        <x:v>302</x:v>
      </x:c>
      <x:c r="B155" s="293" t="n">
        <x:f>Feuil1!AF183</x:f>
        <x:v>-502.94461683092106</x:v>
      </x:c>
      <x:c r="C155" s="293" t="n">
        <x:f>Feuil1!BE183</x:f>
        <x:v>527.449238430976</x:v>
      </x:c>
      <x:c r="D155" s="293" t="n">
        <x:f>B155+C155</x:f>
        <x:v>24.504621600054975</x:v>
      </x:c>
      <x:c r="E155" s="293" t="n">
        <x:f>Feuil1!AE183</x:f>
        <x:v>0</x:v>
      </x:c>
      <x:c r="F155" s="293" t="n">
        <x:f>Feuil1!AS183</x:f>
        <x:v>-642.8756670285095</x:v>
      </x:c>
      <x:c r="G155" s="293" t="n">
        <x:f>Feuil1!AT183</x:f>
        <x:v>1039.250658394943</x:v>
      </x:c>
      <x:c r="I155" t="n">
        <x:f>A135</x:f>
        <x:v>262</x:v>
      </x:c>
      <x:c r="J155" t="n">
        <x:f>F135</x:f>
        <x:v>-750.6876651390348</x:v>
      </x:c>
      <x:c r="K155" t="n">
        <x:f>G135</x:f>
        <x:v>-422.01052505709</x:v>
      </x:c>
    </x:row>
    <x:row r="156">
      <x:c r="A156" s="293" t="n">
        <x:f>Feuil1!A184</x:f>
        <x:v>304</x:v>
      </x:c>
      <x:c r="B156" s="293" t="n">
        <x:f>Feuil1!AF184</x:f>
        <x:v>-429.7873410873791</x:v>
      </x:c>
      <x:c r="C156" s="293" t="n">
        <x:f>Feuil1!BE184</x:f>
        <x:v>458.40012431606846</x:v>
      </x:c>
      <x:c r="D156" s="293" t="n">
        <x:f>B156+C156</x:f>
        <x:v>28.612783228689352</x:v>
      </x:c>
      <x:c r="E156" s="293" t="n">
        <x:f>Feuil1!AE184</x:f>
        <x:v>0</x:v>
      </x:c>
      <x:c r="F156" s="293" t="n">
        <x:f>Feuil1!AS184</x:f>
        <x:v>-628.4644525040131</x:v>
      </x:c>
      <x:c r="G156" s="293" t="n">
        <x:f>Feuil1!AT184</x:f>
        <x:v>1108.8452591707078</x:v>
      </x:c>
      <x:c r="I156" t="n">
        <x:f>A136</x:f>
        <x:v>264</x:v>
      </x:c>
      <x:c r="J156" t="n">
        <x:f>F136</x:f>
        <x:v>-753.9123426572787</x:v>
      </x:c>
      <x:c r="K156" t="n">
        <x:f>G136</x:f>
        <x:v>-352.43668423845344</x:v>
      </x:c>
    </x:row>
    <x:row r="157">
      <x:c r="A157" s="293" t="n">
        <x:f>Feuil1!A185</x:f>
        <x:v>306</x:v>
      </x:c>
      <x:c r="B157" s="293" t="n">
        <x:f>Feuil1!AF185</x:f>
        <x:v>-354.53618462013014</x:v>
      </x:c>
      <x:c r="C157" s="293" t="n">
        <x:f>Feuil1!BE185</x:f>
        <x:v>387.11773087371057</x:v>
      </x:c>
      <x:c r="D157" s="293" t="n">
        <x:f>B157+C157</x:f>
        <x:v>32.58154625358043</x:v>
      </x:c>
      <x:c r="E157" s="293" t="n">
        <x:f>Feuil1!AE185</x:f>
        <x:v>0</x:v>
      </x:c>
      <x:c r="F157" s="293" t="n">
        <x:f>Feuil1!AS185</x:f>
        <x:v>-613.2875508516679</x:v>
      </x:c>
      <x:c r="G157" s="293" t="n">
        <x:f>Feuil1!AT185</x:f>
        <x:v>1177.2784488720267</x:v>
      </x:c>
      <x:c r="I157" t="n">
        <x:f>A137</x:f>
        <x:v>266</x:v>
      </x:c>
      <x:c r="J157" t="n">
        <x:f>F137</x:f>
        <x:v>-756.2184941172886</x:v>
      </x:c>
      <x:c r="K157" t="n">
        <x:f>G137</x:f>
        <x:v>-281.9385236310225</x:v>
      </x:c>
    </x:row>
    <x:row r="158">
      <x:c r="A158" s="293" t="n">
        <x:f>Feuil1!A186</x:f>
        <x:v>308</x:v>
      </x:c>
      <x:c r="B158" s="293" t="n">
        <x:f>Feuil1!AF186</x:f>
        <x:v>-277.55776349926384</x:v>
      </x:c>
      <x:c r="C158" s="293" t="n">
        <x:f>Feuil1!BE186</x:f>
        <x:v>313.94933875947595</x:v>
      </x:c>
      <x:c r="D158" s="293" t="n">
        <x:f>B158+C158</x:f>
        <x:v>36.39157526021211</x:v>
      </x:c>
      <x:c r="E158" s="293" t="n">
        <x:f>Feuil1!AE186</x:f>
        <x:v>0</x:v>
      </x:c>
      <x:c r="F158" s="293" t="n">
        <x:f>Feuil1!AS186</x:f>
        <x:v>-597.3634527883154</x:v>
      </x:c>
      <x:c r="G158" s="293" t="n">
        <x:f>Feuil1!AT186</x:f>
        <x:v>1244.4336647136063</x:v>
      </x:c>
      <x:c r="I158" t="n">
        <x:f>A138</x:f>
        <x:v>268</x:v>
      </x:c>
      <x:c r="J158" t="n">
        <x:f>F138</x:f>
        <x:v>-757.603309828746</x:v>
      </x:c>
      <x:c r="K158" t="n">
        <x:f>G138</x:f>
        <x:v>-210.59580158474643</x:v>
      </x:c>
    </x:row>
    <x:row r="159">
      <x:c r="A159" s="293" t="n">
        <x:f>Feuil1!A187</x:f>
        <x:v>310</x:v>
      </x:c>
      <x:c r="B159" s="293" t="n">
        <x:f>Feuil1!AF187</x:f>
        <x:v>-199.22710885464085</x:v>
      </x:c>
      <x:c r="C159" s="293" t="n">
        <x:f>Feuil1!BE187</x:f>
        <x:v>239.25141702488054</x:v>
      </x:c>
      <x:c r="D159" s="293" t="n">
        <x:f>B159+C159</x:f>
        <x:v>40.02430817023969</x:v>
      </x:c>
      <x:c r="E159" s="293" t="n">
        <x:f>Feuil1!AE187</x:f>
        <x:v>0</x:v>
      </x:c>
      <x:c r="F159" s="293" t="n">
        <x:f>Feuil1!AS187</x:f>
        <x:v>-580.7115593745262</x:v>
      </x:c>
      <x:c r="G159" s="293" t="n">
        <x:f>Feuil1!AT187</x:f>
        <x:v>1310.195139161137</x:v>
      </x:c>
      <x:c r="I159" t="n">
        <x:f>A139</x:f>
        <x:v>270</x:v>
      </x:c>
      <x:c r="J159" t="n">
        <x:f>F139</x:f>
        <x:v>-758.0651026070207</x:v>
      </x:c>
      <x:c r="K159" t="n">
        <x:f>G139</x:f>
        <x:v>-138.49174654507652</x:v>
      </x:c>
    </x:row>
    <x:row r="160">
      <x:c r="A160" s="293" t="n">
        <x:f>Feuil1!A188</x:f>
        <x:v>312</x:v>
      </x:c>
      <x:c r="B160" s="293" t="n">
        <x:f>Feuil1!AF188</x:f>
        <x:v>-119.92583976191918</x:v>
      </x:c>
      <x:c r="C160" s="293" t="n">
        <x:f>Feuil1!BE188</x:f>
        <x:v>163.38788643601015</x:v>
      </x:c>
      <x:c r="D160" s="293" t="n">
        <x:f>B160+C160</x:f>
        <x:v>43.46204667409097</x:v>
      </x:c>
      <x:c r="E160" s="293" t="n">
        <x:f>Feuil1!AE188</x:f>
        <x:v>0</x:v>
      </x:c>
      <x:c r="F160" s="293" t="n">
        <x:f>Feuil1!AS188</x:f>
        <x:v>-563.3521583773975</x:v>
      </x:c>
      <x:c r="G160" s="293" t="n">
        <x:f>Feuil1!AT188</x:f>
        <x:v>1374.4482063735304</x:v>
      </x:c>
      <x:c r="I160" t="n">
        <x:f>A140</x:f>
        <x:v>272</x:v>
      </x:c>
      <x:c r="J160" t="n">
        <x:f>F140</x:f>
        <x:v>-757.6033098287461</x:v>
      </x:c>
      <x:c r="K160" t="n">
        <x:f>G140</x:f>
        <x:v>-65.71297363738064</x:v>
      </x:c>
    </x:row>
    <x:row r="161">
      <x:c r="A161" s="293" t="n">
        <x:f>Feuil1!A189</x:f>
        <x:v>314</x:v>
      </x:c>
      <x:c r="B161" s="293" t="n">
        <x:f>Feuil1!AF189</x:f>
        <x:v>-40.04030403277852</x:v>
      </x:c>
      <x:c r="C161" s="293" t="n">
        <x:f>Feuil1!BE189</x:f>
        <x:v>86.72834648811643</x:v>
      </x:c>
      <x:c r="D161" s="293" t="n">
        <x:f>B161+C161</x:f>
        <x:v>46.68804245533791</x:v>
      </x:c>
      <x:c r="E161" s="293" t="n">
        <x:f>Feuil1!AE189</x:f>
        <x:v>0</x:v>
      </x:c>
      <x:c r="F161" s="293" t="n">
        <x:f>Feuil1!AS189</x:f>
        <x:v>-545.3063995530337</x:v>
      </x:c>
      <x:c r="G161" s="293" t="n">
        <x:f>Feuil1!AT189</x:f>
        <x:v>1437.079610208341</x:v>
      </x:c>
      <x:c r="I161" t="n">
        <x:f>A141</x:f>
        <x:v>274</x:v>
      </x:c>
      <x:c r="J161" t="n">
        <x:f>F141</x:f>
        <x:v>-756.2184941172889</x:v>
      </x:c>
      <x:c r="K161" t="n">
        <x:f>G141</x:f>
        <x:v>7.650614855342088</x:v>
      </x:c>
    </x:row>
    <x:row r="162">
      <x:c r="A162" s="293" t="n">
        <x:f>Feuil1!A190</x:f>
        <x:v>316</x:v>
      </x:c>
      <x:c r="B162" s="293" t="n">
        <x:f>Feuil1!AF190</x:f>
        <x:v>40.04030403277534</x:v>
      </x:c>
      <x:c r="C162" s="293" t="n">
        <x:f>Feuil1!BE190</x:f>
        <x:v>9.646274754033568</x:v>
      </x:c>
      <x:c r="D162" s="293" t="n">
        <x:f>B162+C162</x:f>
        <x:v>49.68657878680891</x:v>
      </x:c>
      <x:c r="E162" s="293" t="n">
        <x:f>Feuil1!AE190</x:f>
        <x:v>0</x:v>
      </x:c>
      <x:c r="F162" s="293" t="n">
        <x:f>Feuil1!AS190</x:f>
        <x:v>-526.5962688788258</x:v>
      </x:c>
      <x:c r="G162" s="293" t="n">
        <x:f>Feuil1!AT190</x:f>
        <x:v>1497.977812595171</x:v>
      </x:c>
      <x:c r="I162" t="n">
        <x:f>A142</x:f>
        <x:v>276</x:v>
      </x:c>
      <x:c r="J162" t="n">
        <x:f>F142</x:f>
        <x:v>-753.9123426572787</x:v>
      </x:c>
      <x:c r="K162" t="n">
        <x:f>G142</x:f>
        <x:v>81.50594502945158</x:v>
      </x:c>
    </x:row>
    <x:row r="163">
      <x:c r="A163" s="293" t="n">
        <x:f>Feuil1!A191</x:f>
        <x:v>318</x:v>
      </x:c>
      <x:c r="B163" s="293" t="n">
        <x:f>Feuil1!AF191</x:f>
        <x:v>119.92583976191759</x:v>
      </x:c>
      <x:c r="C163" s="293" t="n">
        <x:f>Feuil1!BE191</x:f>
        <x:v>-67.48279266100884</x:v>
      </x:c>
      <x:c r="D163" s="293" t="n">
        <x:f>B163+C163</x:f>
        <x:v>52.44304710090874</x:v>
      </x:c>
      <x:c r="E163" s="293" t="n">
        <x:f>Feuil1!AE191</x:f>
        <x:v>0</x:v>
      </x:c>
      <x:c r="F163" s="293" t="n">
        <x:f>Feuil1!AS191</x:f>
        <x:v>-507.2445617669259</x:v>
      </x:c>
      <x:c r="G163" s="293" t="n">
        <x:f>Feuil1!AT191</x:f>
        <x:v>1557.0333010712336</x:v>
      </x:c>
      <x:c r="I163" t="n">
        <x:f>A143</x:f>
        <x:v>278</x:v>
      </x:c>
      <x:c r="J163" t="n">
        <x:f>F143</x:f>
        <x:v>-750.6876651390348</x:v>
      </x:c>
      <x:c r="K163" t="n">
        <x:f>G143</x:f>
        <x:v>155.75690274233102</x:v>
      </x:c>
    </x:row>
    <x:row r="164">
      <x:c r="A164" s="293" t="n">
        <x:f>Feuil1!A192</x:f>
        <x:v>320</x:v>
      </x:c>
      <x:c r="B164" s="293" t="n">
        <x:f>Feuil1!AF192</x:f>
        <x:v>199.22710885464176</x:v>
      </x:c>
      <x:c r="C164" s="293" t="n">
        <x:f>Feuil1!BE192</x:f>
        <x:v>-144.28309069355538</x:v>
      </x:c>
      <x:c r="D164" s="293" t="n">
        <x:f>B164+C164</x:f>
        <x:v>54.944018161086376</x:v>
      </x:c>
      <x:c r="E164" s="293" t="n">
        <x:f>Feuil1!AE192</x:f>
        <x:v>0</x:v>
      </x:c>
      <x:c r="F164" s="293" t="n">
        <x:f>Feuil1!AS192</x:f>
        <x:v>-487.2748552915484</x:v>
      </x:c>
      <x:c r="G164" s="293" t="n">
        <x:f>Feuil1!AT192</x:f>
        <x:v>1614.1388942681667</x:v>
      </x:c>
      <x:c r="I164" t="n">
        <x:f>A144</x:f>
        <x:v>280</x:v>
      </x:c>
      <x:c r="J164" t="n">
        <x:f>F144</x:f>
        <x:v>-746.548390335389</x:v>
      </x:c>
      <x:c r="K164" t="n">
        <x:f>G144</x:f>
        <x:v>230.30448059104629</x:v>
      </x:c>
    </x:row>
    <x:row r="165">
      <x:c r="A165" s="293" t="n">
        <x:f>Feuil1!A193</x:f>
        <x:v>322</x:v>
      </x:c>
      <x:c r="B165" s="293" t="n">
        <x:f>Feuil1!AF193</x:f>
        <x:v>277.5577634992634</x:v>
      </x:c>
      <x:c r="C165" s="293" t="n">
        <x:f>Feuil1!BE193</x:f>
        <x:v>-220.38045601152652</x:v>
      </x:c>
      <x:c r="D165" s="293" t="n">
        <x:f>B165+C165</x:f>
        <x:v>57.17730748773687</x:v>
      </x:c>
      <x:c r="E165" s="293" t="n">
        <x:f>Feuil1!AE193</x:f>
        <x:v>0</x:v>
      </x:c>
      <x:c r="F165" s="293" t="n">
        <x:f>Feuil1!AS193</x:f>
        <x:v>-466.7114794639351</x:v>
      </x:c>
      <x:c r="G165" s="293" t="n">
        <x:f>Feuil1!AT193</x:f>
        <x:v>1669.1900441396288</x:v>
      </x:c>
      <x:c r="I165" t="n">
        <x:f>A145</x:f>
        <x:v>282</x:v>
      </x:c>
      <x:c r="J165" t="n">
        <x:f>F145</x:f>
        <x:v>-741.4995613150834</x:v>
      </x:c>
      <x:c r="K165" t="n">
        <x:f>G145</x:f>
        <x:v>305.04694016336475</x:v>
      </x:c>
    </x:row>
    <x:row r="166">
      <x:c r="A166" s="293" t="n">
        <x:f>Feuil1!A194</x:f>
        <x:v>324</x:v>
      </x:c>
      <x:c r="B166" s="293" t="n">
        <x:f>Feuil1!AF194</x:f>
        <x:v>354.53618462012946</x:v>
      </x:c>
      <x:c r="C166" s="293" t="n">
        <x:f>Feuil1!BE194</x:f>
        <x:v>-295.4041499003774</x:v>
      </x:c>
      <x:c r="D166" s="293" t="n">
        <x:f>B166+C166</x:f>
        <x:v>59.132034719752085</x:v>
      </x:c>
      <x:c r="E166" s="293" t="n">
        <x:f>Feuil1!AE194</x:f>
        <x:v>0</x:v>
      </x:c>
      <x:c r="F166" s="293" t="n">
        <x:f>Feuil1!AS194</x:f>
        <x:v>-445.57948758998737</x:v>
      </x:c>
      <x:c r="G166" s="293" t="n">
        <x:f>Feuil1!AT194</x:f>
        <x:v>1722.085133725229</x:v>
      </x:c>
      <x:c r="I166" t="n">
        <x:f>A146</x:f>
        <x:v>284</x:v>
      </x:c>
      <x:c r="J166" t="n">
        <x:f>F146</x:f>
        <x:v>-735.5473292985669</x:v>
      </x:c>
      <x:c r="K166" t="n">
        <x:f>G146</x:f>
        <x:v>379.8799891606475</x:v>
      </x:c>
    </x:row>
    <x:row r="167">
      <x:c r="A167" s="293" t="n">
        <x:f>Feuil1!A195</x:f>
        <x:v>326</x:v>
      </x:c>
      <x:c r="B167" s="293" t="n">
        <x:f>Feuil1!AF195</x:f>
        <x:v>429.7873410873758</x:v>
      </x:c>
      <x:c r="C167" s="293" t="n">
        <x:f>Feuil1!BE195</x:f>
        <x:v>-368.98866446483305</x:v>
      </x:c>
      <x:c r="D167" s="293" t="n">
        <x:f>B167+C167</x:f>
        <x:v>60.79867662254276</x:v>
      </x:c>
      <x:c r="E167" s="293" t="n">
        <x:f>Feuil1!AE195</x:f>
        <x:v>0</x:v>
      </x:c>
      <x:c r="F167" s="293" t="n">
        <x:f>Feuil1!AS195</x:f>
        <x:v>-423.90462574666986</x:v>
      </x:c>
      <x:c r="G167" s="293" t="n">
        <x:f>Feuil1!AT195</x:f>
        <x:v>1772.7257692578955</x:v>
      </x:c>
      <x:c r="I167" t="n">
        <x:f>A147</x:f>
        <x:v>286</x:v>
      </x:c>
      <x:c r="J167" t="n">
        <x:f>F147</x:f>
        <x:v>-728.6989461636804</x:v>
      </x:c>
      <x:c r="K167" t="n">
        <x:f>G147</x:f>
        <x:v>454.6969729177892</x:v>
      </x:c>
    </x:row>
    <x:row r="168">
      <x:c r="A168" s="293" t="n">
        <x:f>Feuil1!A196</x:f>
        <x:v>328</x:v>
      </x:c>
      <x:c r="B168" s="293" t="n">
        <x:f>Feuil1!AF196</x:f>
        <x:v>502.94461683091663</x:v>
      </x:c>
      <x:c r="C168" s="293" t="n">
        <x:f>Feuil1!BE196</x:f>
        <x:v>-440.7755033466288</x:v>
      </x:c>
      <x:c r="D168" s="293" t="n">
        <x:f>B168+C168</x:f>
        <x:v>62.169113484287834</x:v>
      </x:c>
      <x:c r="E168" s="293" t="n">
        <x:f>Feuil1!AE196</x:f>
        <x:v>0</x:v>
      </x:c>
      <x:c r="F168" s="293" t="n">
        <x:f>Feuil1!AS196</x:f>
        <x:v>-401.7133014143816</x:v>
      </x:c>
      <x:c r="G168" s="293" t="n">
        <x:f>Feuil1!AT196</x:f>
        <x:v>1821.0170654388585</x:v>
      </x:c>
      <x:c r="I168" t="n">
        <x:f>A148</x:f>
        <x:v>288</x:v>
      </x:c>
      <x:c r="J168" t="n">
        <x:f>F148</x:f>
        <x:v>-720.9627556103612</x:v>
      </x:c>
      <x:c r="K168" t="n">
        <x:f>G148</x:f>
        <x:v>529.38907977284</x:v>
      </x:c>
    </x:row>
    <x:row r="169">
      <x:c r="A169" s="293" t="n">
        <x:f>Feuil1!A197</x:f>
        <x:v>330</x:v>
      </x:c>
      <x:c r="B169" s="293" t="n">
        <x:f>Feuil1!AF197</x:f>
        <x:v>573.6515969570755</x:v>
      </x:c>
      <x:c r="C169" s="293" t="n">
        <x:f>Feuil1!BE197</x:f>
        <x:v>-510.4149282827165</x:v>
      </x:c>
      <x:c r="D169" s="293" t="n">
        <x:f>B169+C169</x:f>
        <x:v>63.23666867435901</x:v>
      </x:c>
      <x:c r="E169" s="293" t="n">
        <x:f>Feuil1!AE197</x:f>
        <x:v>0</x:v>
      </x:c>
      <x:c r="F169" s="293" t="n">
        <x:f>Feuil1!AS197</x:f>
        <x:v>-379.03255130351044</x:v>
      </x:c>
      <x:c r="G169" s="293" t="n">
        <x:f>Feuil1!AT197</x:f>
        <x:v>1866.8679227268567</x:v>
      </x:c>
      <x:c r="I169" t="n">
        <x:f>A149</x:f>
        <x:v>290</x:v>
      </x:c>
      <x:c r="J169" t="n">
        <x:f>F149</x:f>
        <x:v>-712.3481829951298</x:v>
      </x:c>
      <x:c r="K169" t="n">
        <x:f>G149</x:f>
        <x:v>603.845559668631</x:v>
      </x:c>
    </x:row>
    <x:row r="170">
      <x:c r="A170" s="293" t="n">
        <x:f>Feuil1!A198</x:f>
        <x:v>332</x:v>
      </x:c>
      <x:c r="B170" s="293" t="n">
        <x:f>Feuil1!AF198</x:f>
        <x:v>641.5638041661174</x:v>
      </x:c>
      <x:c r="C170" s="293" t="n">
        <x:f>Feuil1!BE198</x:f>
        <x:v>-577.5676629949402</x:v>
      </x:c>
      <x:c r="D170" s="293" t="n">
        <x:f>B170+C170</x:f>
        <x:v>63.996141171177214</x:v>
      </x:c>
      <x:c r="E170" s="293" t="n">
        <x:f>Feuil1!AE198</x:f>
        <x:v>0</x:v>
      </x:c>
      <x:c r="F170" s="293" t="n">
        <x:f>Feuil1!AS198</x:f>
        <x:v>-355.8900084143647</x:v>
      </x:c>
      <x:c r="G170" s="293" t="n">
        <x:f>Feuil1!AT198</x:f>
        <x:v>1910.191295516031</x:v>
      </x:c>
      <x:c r="I170" t="n">
        <x:f>A150</x:f>
        <x:v>292</x:v>
      </x:c>
      <x:c r="J170" t="n">
        <x:f>F150</x:f>
        <x:v>-702.8657238477447</x:v>
      </x:c>
      <x:c r="K170" t="n">
        <x:f>G150</x:f>
        <x:v>677.9539553009215</x:v>
      </x:c>
    </x:row>
    <x:row r="171">
      <x:c r="A171" s="293" t="n">
        <x:f>Feuil1!A199</x:f>
        <x:v>334</x:v>
      </x:c>
      <x:c r="B171" s="293" t="n">
        <x:f>Feuil1!AF199</x:f>
        <x:v>706.350377011029</x:v>
      </x:c>
      <x:c r="C171" s="293" t="n">
        <x:f>Feuil1!BE199</x:f>
        <x:v>-641.9065461099525</x:v>
      </x:c>
      <x:c r="D171" s="293" t="n">
        <x:f>B171+C171</x:f>
        <x:v>64.44383090107647</x:v>
      </x:c>
      <x:c r="E171" s="293" t="n">
        <x:f>Feuil1!AE199</x:f>
        <x:v>0</x:v>
      </x:c>
      <x:c r="F171" s="293" t="n">
        <x:f>Feuil1!AS199</x:f>
        <x:v>-332.31386837061916</x:v>
      </x:c>
      <x:c r="G171" s="293" t="n">
        <x:f>Feuil1!AT199</x:f>
        <x:v>1950.9044501099768</x:v>
      </x:c>
      <x:c r="I171" t="n">
        <x:f>A151</x:f>
        <x:v>294</x:v>
      </x:c>
      <x:c r="J171" t="n">
        <x:f>F151</x:f>
        <x:v>-692.5269310840157</x:v>
      </x:c>
      <x:c r="K171" t="n">
        <x:f>G151</x:f>
        <x:v>751.600345062701</x:v>
      </x:c>
    </x:row>
    <x:row r="172">
      <x:c r="A172" s="293" t="n">
        <x:f>Feuil1!A200</x:f>
        <x:v>336</x:v>
      </x:c>
      <x:c r="B172" s="293" t="n">
        <x:f>Feuil1!AF200</x:f>
        <x:v>767.6956818212334</x:v>
      </x:c>
      <x:c r="C172" s="293" t="n">
        <x:f>Feuil1!BE200</x:f>
        <x:v>-703.118125056536</x:v>
      </x:c>
      <x:c r="D172" s="293" t="n">
        <x:f>B172+C172</x:f>
        <x:v>64.57755676469742</x:v>
      </x:c>
      <x:c r="E172" s="293" t="n">
        <x:f>Feuil1!AE200</x:f>
        <x:v>0</x:v>
      </x:c>
      <x:c r="F172" s="293" t="n">
        <x:f>Feuil1!AS200</x:f>
        <x:v>-308.33285506729175</x:v>
      </x:c>
      <x:c r="G172" s="293" t="n">
        <x:f>Feuil1!AT200</x:f>
        <x:v>1988.92921143749</x:v>
      </x:c>
      <x:c r="I172" t="n">
        <x:f>A152</x:f>
        <x:v>296</x:v>
      </x:c>
      <x:c r="J172" t="n">
        <x:f>F152</x:f>
        <x:v>-681.3444009303572</x:v>
      </x:c>
      <x:c r="K172" t="n">
        <x:f>G152</x:f>
        <x:v>824.6695969725693</x:v>
      </x:c>
    </x:row>
    <x:row r="173">
      <x:c r="A173" s="293" t="n">
        <x:f>Feuil1!A201</x:f>
        <x:v>338</x:v>
      </x:c>
      <x:c r="B173" s="293" t="n">
        <x:f>Feuil1!AF201</x:f>
        <x:v>825.3008504381046</x:v>
      </x:c>
      <x:c r="C173" s="293" t="n">
        <x:f>Feuil1!BE201</x:f>
        <x:v>-760.9041831750324</x:v>
      </x:c>
      <x:c r="D173" s="293" t="n">
        <x:f>B173+C173</x:f>
        <x:v>64.39666726307223</x:v>
      </x:c>
      <x:c r="E173" s="293" t="n">
        <x:f>Feuil1!AE201</x:f>
        <x:v>0</x:v>
      </x:c>
      <x:c r="F173" s="293" t="n">
        <x:f>Feuil1!AS201</x:f>
        <x:v>-283.97618567510034</x:v>
      </x:c>
      <x:c r="G173" s="293" t="n">
        <x:f>Feuil1!AT201</x:f>
        <x:v>2024.1921974985335</x:v>
      </x:c>
      <x:c r="I173" t="n">
        <x:f>A153</x:f>
        <x:v>298</x:v>
      </x:c>
      <x:c r="J173" t="n">
        <x:f>F153</x:f>
        <x:v>-669.3317575772245</x:v>
      </x:c>
      <x:c r="K173" t="n">
        <x:f>G153</x:f>
        <x:v>897.045632716906</x:v>
      </x:c>
    </x:row>
    <x:row r="174">
      <x:c r="A174" s="293" t="n">
        <x:f>Feuil1!A202</x:f>
        <x:v>340</x:v>
      </x:c>
      <x:c r="B174" s="293" t="n">
        <x:f>Feuil1!AF202</x:f>
        <x:v>878.8852362705934</x:v>
      </x:c>
      <x:c r="C174" s="293" t="n">
        <x:f>Feuil1!BE202</x:f>
        <x:v>-814.9831925989195</x:v>
      </x:c>
      <x:c r="D174" s="293" t="n">
        <x:f>B174+C174</x:f>
        <x:v>63.90204367167394</x:v>
      </x:c>
      <x:c r="E174" s="293" t="n">
        <x:f>Feuil1!AE202</x:f>
        <x:v>0</x:v>
      </x:c>
      <x:c r="F174" s="293" t="n">
        <x:f>Feuil1!AS202</x:f>
        <x:v>-259.27353504384087</x:v>
      </x:c>
      <x:c r="G174" s="293" t="n">
        <x:f>Feuil1!AT202</x:f>
        <x:v>2056.6250405766095</x:v>
      </x:c>
      <x:c r="I174" t="n">
        <x:f>A154</x:f>
        <x:v>300</x:v>
      </x:c>
      <x:c r="J174" t="n">
        <x:f>F154</x:f>
        <x:v>-656.503636580137</x:v>
      </x:c>
      <x:c r="K174" t="n">
        <x:f>G154</x:f>
        <x:v>968.6117008811198</x:v>
      </x:c>
    </x:row>
    <x:row r="175">
      <x:c r="A175" s="293" t="n">
        <x:f>Feuil1!A203</x:f>
        <x:v>342</x:v>
      </x:c>
      <x:c r="B175" s="293" t="n">
        <x:f>Feuil1!AF203</x:f>
        <x:v>928.1877815772068</x:v>
      </x:c>
      <x:c r="C175" s="293" t="n">
        <x:f>Feuil1!BE203</x:f>
        <x:v>-865.0916858302901</x:v>
      </x:c>
      <x:c r="D175" s="293" t="n">
        <x:f>B175+C175</x:f>
        <x:v>63.09609574691672</x:v>
      </x:c>
      <x:c r="E175" s="293" t="n">
        <x:f>Feuil1!AE203</x:f>
        <x:v>0</x:v>
      </x:c>
      <x:c r="F175" s="293" t="n">
        <x:f>Feuil1!AS203</x:f>
        <x:v>-234.2549995481578</x:v>
      </x:c>
      <x:c r="G175" s="293" t="n">
        <x:f>Feuil1!AT203</x:f>
        <x:v>2086.164594305868</x:v>
      </x:c>
      <x:c r="I175" t="n">
        <x:f>A155</x:f>
        <x:v>302</x:v>
      </x:c>
      <x:c r="J175" t="n">
        <x:f>F155</x:f>
        <x:v>-642.8756670285095</x:v>
      </x:c>
      <x:c r="K175" t="n">
        <x:f>G155</x:f>
        <x:v>1039.250658394943</x:v>
      </x:c>
    </x:row>
    <x:row r="176">
      <x:c r="A176" s="293" t="n">
        <x:f>Feuil1!A204</x:f>
        <x:v>344</x:v>
      </x:c>
      <x:c r="B176" s="293" t="n">
        <x:f>Feuil1!AF204</x:f>
        <x:v>972.9682893130844</x:v>
      </x:c>
      <x:c r="C176" s="293" t="n">
        <x:f>Feuil1!BE204</x:f>
        <x:v>-910.9855393270063</x:v>
      </x:c>
      <x:c r="D176" s="293" t="n">
        <x:f>B176+C176</x:f>
        <x:v>61.98274998607803</x:v>
      </x:c>
      <x:c r="E176" s="293" t="n">
        <x:f>Feuil1!AE204</x:f>
        <x:v>0</x:v>
      </x:c>
      <x:c r="F176" s="293" t="n">
        <x:f>Feuil1!AS204</x:f>
        <x:v>-208.95106041974134</x:v>
      </x:c>
      <x:c r="G176" s="293" t="n">
        <x:f>Feuil1!AT204</x:f>
        <x:v>2112.753125737679</x:v>
      </x:c>
      <x:c r="I176" t="n">
        <x:f>A156</x:f>
        <x:v>304</x:v>
      </x:c>
      <x:c r="J176" t="n">
        <x:f>F156</x:f>
        <x:v>-628.4644525040131</x:v>
      </x:c>
      <x:c r="K176" t="n">
        <x:f>G156</x:f>
        <x:v>1108.8452591707078</x:v>
      </x:c>
    </x:row>
    <x:row r="177">
      <x:c r="A177" s="293" t="n">
        <x:f>Feuil1!A205</x:f>
        <x:v>346</x:v>
      </x:c>
      <x:c r="B177" s="293" t="n">
        <x:f>Feuil1!AF205</x:f>
        <x:v>1013.0085933458618</x:v>
      </x:c>
      <x:c r="C177" s="293" t="n">
        <x:f>Feuil1!BE205</x:f>
        <x:v>-952.4411628480689</x:v>
      </x:c>
      <x:c r="D177" s="293" t="n">
        <x:f>B177+C177</x:f>
        <x:v>60.567430497792884</x:v>
      </x:c>
      <x:c r="E177" s="293" t="n">
        <x:f>Feuil1!AE205</x:f>
        <x:v>0</x:v>
      </x:c>
      <x:c r="F177" s="293" t="n">
        <x:f>Feuil1!AS205</x:f>
        <x:v>-183.3925466106469</x:v>
      </x:c>
      <x:c r="G177" s="293" t="n">
        <x:f>Feuil1!AT205</x:f>
        <x:v>2136.3384916117384</x:v>
      </x:c>
      <x:c r="I177" t="n">
        <x:f>A157</x:f>
        <x:v>306</x:v>
      </x:c>
      <x:c r="J177" t="n">
        <x:f>F157</x:f>
        <x:v>-613.2875508516679</x:v>
      </x:c>
      <x:c r="K177" t="n">
        <x:f>G157</x:f>
        <x:v>1177.2784488720267</x:v>
      </x:c>
    </x:row>
    <x:row r="178">
      <x:c r="A178" s="293" t="n">
        <x:f>Feuil1!A206</x:f>
        <x:v>348</x:v>
      </x:c>
      <x:c r="B178" s="293" t="n">
        <x:f>Feuil1!AF206</x:f>
        <x:v>1048.1136213391237</x:v>
      </x:c>
      <x:c r="C178" s="293" t="n">
        <x:f>Feuil1!BE206</x:f>
        <x:v>-989.2565887627856</x:v>
      </x:c>
      <x:c r="D178" s="293" t="n">
        <x:f>B178+C178</x:f>
        <x:v>58.857032576338156</x:v>
      </x:c>
      <x:c r="E178" s="293" t="n">
        <x:f>Feuil1!AE206</x:f>
        <x:v>0</x:v>
      </x:c>
      <x:c r="F178" s="293" t="n">
        <x:f>Feuil1!AS206</x:f>
        <x:v>-157.61059723296415</x:v>
      </x:c>
      <x:c r="G178" s="293" t="n">
        <x:f>Feuil1!AT206</x:f>
        <x:v>2156.874298100861</x:v>
      </x:c>
      <x:c r="I178" t="n">
        <x:f>A158</x:f>
        <x:v>308</x:v>
      </x:c>
      <x:c r="J178" t="n">
        <x:f>F158</x:f>
        <x:v>-597.3634527883154</x:v>
      </x:c>
      <x:c r="K178" t="n">
        <x:f>G158</x:f>
        <x:v>1244.4336647136063</x:v>
      </x:c>
    </x:row>
    <x:row r="179">
      <x:c r="A179" s="293" t="n">
        <x:f>Feuil1!A207</x:f>
        <x:v>350</x:v>
      </x:c>
      <x:c r="B179" s="293" t="n">
        <x:f>Feuil1!AF207</x:f>
        <x:v>1078.1123451252347</x:v>
      </x:c>
      <x:c r="C179" s="293" t="n">
        <x:f>Feuil1!BE207</x:f>
        <x:v>-1021.2524560167745</x:v>
      </x:c>
      <x:c r="D179" s="293" t="n">
        <x:f>B179+C179</x:f>
        <x:v>56.85988910846015</x:v>
      </x:c>
      <x:c r="E179" s="293" t="n">
        <x:f>Feuil1!AE207</x:f>
        <x:v>0</x:v>
      </x:c>
      <x:c r="F179" s="293" t="n">
        <x:f>Feuil1!AS207</x:f>
        <x:v>-131.6366236206042</x:v>
      </x:c>
      <x:c r="G179" s="293" t="n">
        <x:f>Feuil1!AT207</x:f>
        <x:v>2174.32004336609</x:v>
      </x:c>
      <x:c r="I179" t="n">
        <x:f>A159</x:f>
        <x:v>310</x:v>
      </x:c>
      <x:c r="J179" t="n">
        <x:f>F159</x:f>
        <x:v>-580.7115593745262</x:v>
      </x:c>
      <x:c r="K179" t="n">
        <x:f>G159</x:f>
        <x:v>1310.195139161137</x:v>
      </x:c>
    </x:row>
    <x:row r="180">
      <x:c r="A180" s="293" t="n">
        <x:f>Feuil1!A208</x:f>
        <x:v>352</x:v>
      </x:c>
      <x:c r="B180" s="293" t="n">
        <x:f>Feuil1!AF208</x:f>
        <x:v>1102.8586139373701</x:v>
      </x:c>
      <x:c r="C180" s="293" t="n">
        <x:f>Feuil1!BE208</x:f>
        <x:v>-1048.2728839609883</x:v>
      </x:c>
      <x:c r="D180" s="293" t="n">
        <x:f>B180+C180</x:f>
        <x:v>54.5857299763818</x:v>
      </x:c>
      <x:c r="E180" s="293" t="n">
        <x:f>Feuil1!AE208</x:f>
        <x:v>0</x:v>
      </x:c>
      <x:c r="F180" s="293" t="n">
        <x:f>Feuil1!AS208</x:f>
        <x:v>-105.50227105942963</x:v>
      </x:c>
      <x:c r="G180" s="293" t="n">
        <x:f>Feuil1!AT208</x:f>
        <x:v>2188.6412423292873</x:v>
      </x:c>
      <x:c r="I180" t="n">
        <x:f>A160</x:f>
        <x:v>312</x:v>
      </x:c>
      <x:c r="J180" t="n">
        <x:f>F160</x:f>
        <x:v>-563.3521583773975</x:v>
      </x:c>
      <x:c r="K180" t="n">
        <x:f>G160</x:f>
        <x:v>1374.4482063735304</x:v>
      </x:c>
    </x:row>
    <x:row r="181">
      <x:c r="A181" s="293" t="n">
        <x:f>Feuil1!A209</x:f>
        <x:v>354</x:v>
      </x:c>
      <x:c r="B181" s="293" t="n">
        <x:f>Feuil1!AF209</x:f>
        <x:v>1122.2318664413624</x:v>
      </x:c>
      <x:c r="C181" s="293" t="n">
        <x:f>Feuil1!BE209</x:f>
        <x:v>-1070.1862317865655</x:v>
      </x:c>
      <x:c r="D181" s="293" t="n">
        <x:f>B181+C181</x:f>
        <x:v>52.04563465479691</x:v>
      </x:c>
      <x:c r="E181" s="293" t="n">
        <x:f>Feuil1!AE209</x:f>
        <x:v>0</x:v>
      </x:c>
      <x:c r="F181" s="293" t="n">
        <x:f>Feuil1!AS209</x:f>
        <x:v>-79.2393802323482</x:v>
      </x:c>
      <x:c r="G181" s="293" t="n">
        <x:f>Feuil1!AT209</x:f>
        <x:v>2199.809533143729</x:v>
      </x:c>
      <x:c r="I181" t="n">
        <x:f>A161</x:f>
        <x:v>314</x:v>
      </x:c>
      <x:c r="J181" t="n">
        <x:f>F161</x:f>
        <x:v>-545.3063995530337</x:v>
      </x:c>
      <x:c r="K181" t="n">
        <x:f>G161</x:f>
        <x:v>1437.079610208341</x:v>
      </x:c>
    </x:row>
    <x:row r="182">
      <x:c r="A182" s="293" t="n">
        <x:f>Feuil1!A210</x:f>
        <x:v>356</x:v>
      </x:c>
      <x:c r="B182" s="293" t="n">
        <x:f>Feuil1!AF210</x:f>
        <x:v>1136.137718098406</x:v>
      </x:c>
      <x:c r="C182" s="293" t="n">
        <x:f>Feuil1!BE210</x:f>
        <x:v>-1086.8857398656228</x:v>
      </x:c>
      <x:c r="D182" s="293" t="n">
        <x:f>B182+C182</x:f>
        <x:v>49.25197823278313</x:v>
      </x:c>
      <x:c r="E182" s="293" t="n">
        <x:f>Feuil1!AE210</x:f>
        <x:v>0</x:v>
      </x:c>
      <x:c r="F182" s="293" t="n">
        <x:f>Feuil1!AS210</x:f>
        <x:v>-52.879948426344356</x:v>
      </x:c>
      <x:c r="G182" s="293" t="n">
        <x:f>Feuil1!AT210</x:f>
        <x:v>2207.802764918957</x:v>
      </x:c>
      <x:c r="I182" t="n">
        <x:f>A162</x:f>
        <x:v>316</x:v>
      </x:c>
      <x:c r="J182" t="n">
        <x:f>F162</x:f>
        <x:v>-526.5962688788258</x:v>
      </x:c>
      <x:c r="K182" t="n">
        <x:f>G162</x:f>
        <x:v>1497.977812595171</x:v>
      </x:c>
    </x:row>
    <x:row r="183">
      <x:c r="A183" s="293" t="n">
        <x:f>Feuil1!A211</x:f>
        <x:v>358</x:v>
      </x:c>
      <x:c r="B183" s="293" t="n">
        <x:f>Feuil1!AF211</x:f>
        <x:v>1144.5084209970373</x:v>
      </x:c>
      <x:c r="C183" s="293" t="n">
        <x:f>Feuil1!BE211</x:f>
        <x:v>-1098.290049873427</x:v>
      </x:c>
      <x:c r="D183" s="293" t="n">
        <x:f>B183+C183</x:f>
        <x:v>46.21837112361027</x:v>
      </x:c>
      <x:c r="E183" s="293" t="n">
        <x:f>Feuil1!AE211</x:f>
        <x:v>0</x:v>
      </x:c>
      <x:c r="F183" s="293" t="n">
        <x:f>Feuil1!AS211</x:f>
        <x:v>-26.456090548714712</x:v>
      </x:c>
      <x:c r="G183" s="293" t="n">
        <x:f>Feuil1!AT211</x:f>
        <x:v>2212.6050663339765</x:v>
      </x:c>
      <x:c r="I183" t="n">
        <x:f>A163</x:f>
        <x:v>318</x:v>
      </x:c>
      <x:c r="J183" t="n">
        <x:f>F163</x:f>
        <x:v>-507.2445617669259</x:v>
      </x:c>
      <x:c r="K183" t="n">
        <x:f>G163</x:f>
        <x:v>1557.0333010712336</x:v>
      </x:c>
    </x:row>
    <x:row r="184">
      <x:c r="A184" s="293" t="n">
        <x:f>Feuil1!A212</x:f>
        <x:v>360</x:v>
      </x:c>
      <x:c r="B184" s="293" t="n">
        <x:f>Feuil1!AF212</x:f>
        <x:v>1147.3031939141547</x:v>
      </x:c>
      <x:c r="C184" s="293" t="n">
        <x:f>Feuil1!BE212</x:f>
        <x:v>-1104.3436011579777</x:v>
      </x:c>
      <x:c r="D184" s="293" t="n">
        <x:f>B184+C184</x:f>
        <x:v>42.95959275617702</x:v>
      </x:c>
      <x:c r="E184" s="293" t="n">
        <x:f>Feuil1!AE212</x:f>
        <x:v>0</x:v>
      </x:c>
      <x:c r="F184" s="293" t="n">
        <x:f>Feuil1!AS212</x:f>
        <x:v>0</x:v>
      </x:c>
      <x:c r="G184" s="293" t="n">
        <x:f>Feuil1!AT212</x:f>
        <x:v>2214.2068948523915</x:v>
      </x:c>
      <x:c r="I184" t="n">
        <x:f>A164</x:f>
        <x:v>320</x:v>
      </x:c>
      <x:c r="J184" t="n">
        <x:f>F164</x:f>
        <x:v>-487.2748552915484</x:v>
      </x:c>
      <x:c r="K184" t="n">
        <x:f>G164</x:f>
        <x:v>1614.1388942681667</x:v>
      </x:c>
    </x:row>
    <x:row r="185">
      <x:c r="I185" t="n">
        <x:f>A165</x:f>
        <x:v>322</x:v>
      </x:c>
      <x:c r="J185" t="n">
        <x:f>F165</x:f>
        <x:v>-466.7114794639351</x:v>
      </x:c>
      <x:c r="K185" t="n">
        <x:f>G165</x:f>
        <x:v>1669.1900441396288</x:v>
      </x:c>
    </x:row>
    <x:row r="186">
      <x:c r="I186" t="n">
        <x:f>A166</x:f>
        <x:v>324</x:v>
      </x:c>
      <x:c r="J186" t="n">
        <x:f>F166</x:f>
        <x:v>-445.57948758998737</x:v>
      </x:c>
      <x:c r="K186" t="n">
        <x:f>G166</x:f>
        <x:v>1722.085133725229</x:v>
      </x:c>
    </x:row>
    <x:row r="187">
      <x:c r="I187" t="n">
        <x:f>A167</x:f>
        <x:v>326</x:v>
      </x:c>
      <x:c r="J187" t="n">
        <x:f>F167</x:f>
        <x:v>-423.90462574666986</x:v>
      </x:c>
      <x:c r="K187" t="n">
        <x:f>G167</x:f>
        <x:v>1772.7257692578955</x:v>
      </x:c>
    </x:row>
    <x:row r="188">
      <x:c r="I188" t="n">
        <x:f>A168</x:f>
        <x:v>328</x:v>
      </x:c>
      <x:c r="J188" t="n">
        <x:f>F168</x:f>
        <x:v>-401.7133014143816</x:v>
      </x:c>
      <x:c r="K188" t="n">
        <x:f>G168</x:f>
        <x:v>1821.0170654388585</x:v>
      </x:c>
    </x:row>
    <x:row r="189">
      <x:c r="I189" t="n">
        <x:f>A169</x:f>
        <x:v>330</x:v>
      </x:c>
      <x:c r="J189" t="n">
        <x:f>F169</x:f>
        <x:v>-379.03255130351044</x:v>
      </x:c>
      <x:c r="K189" t="n">
        <x:f>G169</x:f>
        <x:v>1866.8679227268567</x:v>
      </x:c>
    </x:row>
    <x:row r="190">
      <x:c r="I190" t="n">
        <x:f>A170</x:f>
        <x:v>332</x:v>
      </x:c>
      <x:c r="J190" t="n">
        <x:f>F170</x:f>
        <x:v>-355.8900084143647</x:v>
      </x:c>
      <x:c r="K190" t="n">
        <x:f>G170</x:f>
        <x:v>1910.191295516031</x:v>
      </x:c>
    </x:row>
    <x:row r="191">
      <x:c r="I191" t="n">
        <x:f>A171</x:f>
        <x:v>334</x:v>
      </x:c>
      <x:c r="J191" t="n">
        <x:f>F171</x:f>
        <x:v>-332.31386837061916</x:v>
      </x:c>
      <x:c r="K191" t="n">
        <x:f>G171</x:f>
        <x:v>1950.9044501099768</x:v>
      </x:c>
    </x:row>
    <x:row r="192">
      <x:c r="I192" t="n">
        <x:f>A172</x:f>
        <x:v>336</x:v>
      </x:c>
      <x:c r="J192" t="n">
        <x:f>F172</x:f>
        <x:v>-308.33285506729175</x:v>
      </x:c>
      <x:c r="K192" t="n">
        <x:f>G172</x:f>
        <x:v>1988.92921143749</x:v>
      </x:c>
    </x:row>
    <x:row r="193">
      <x:c r="I193" t="n">
        <x:f>A173</x:f>
        <x:v>338</x:v>
      </x:c>
      <x:c r="J193" t="n">
        <x:f>F173</x:f>
        <x:v>-283.97618567510034</x:v>
      </x:c>
      <x:c r="K193" t="n">
        <x:f>G173</x:f>
        <x:v>2024.1921974985335</x:v>
      </x:c>
    </x:row>
    <x:row r="194">
      <x:c r="I194" t="n">
        <x:f>A174</x:f>
        <x:v>340</x:v>
      </x:c>
      <x:c r="J194" t="n">
        <x:f>F174</x:f>
        <x:v>-259.27353504384087</x:v>
      </x:c>
      <x:c r="K194" t="n">
        <x:f>G174</x:f>
        <x:v>2056.6250405766095</x:v>
      </x:c>
    </x:row>
    <x:row r="195">
      <x:c r="I195" t="n">
        <x:f>A175</x:f>
        <x:v>342</x:v>
      </x:c>
      <x:c r="J195" t="n">
        <x:f>F175</x:f>
        <x:v>-234.2549995481578</x:v>
      </x:c>
      <x:c r="K195" t="n">
        <x:f>G175</x:f>
        <x:v>2086.164594305868</x:v>
      </x:c>
    </x:row>
    <x:row r="196">
      <x:c r="I196" t="n">
        <x:f>A176</x:f>
        <x:v>344</x:v>
      </x:c>
      <x:c r="J196" t="n">
        <x:f>F176</x:f>
        <x:v>-208.95106041974134</x:v>
      </x:c>
      <x:c r="K196" t="n">
        <x:f>G176</x:f>
        <x:v>2112.753125737679</x:v>
      </x:c>
    </x:row>
    <x:row r="197">
      <x:c r="I197" t="n">
        <x:f>A177</x:f>
        <x:v>346</x:v>
      </x:c>
      <x:c r="J197" t="n">
        <x:f>F177</x:f>
        <x:v>-183.3925466106469</x:v>
      </x:c>
      <x:c r="K197" t="n">
        <x:f>G177</x:f>
        <x:v>2136.3384916117384</x:v>
      </x:c>
    </x:row>
    <x:row r="198">
      <x:c r="I198" t="n">
        <x:f>A178</x:f>
        <x:v>348</x:v>
      </x:c>
      <x:c r="J198" t="n">
        <x:f>F178</x:f>
        <x:v>-157.61059723296415</x:v>
      </x:c>
      <x:c r="K198" t="n">
        <x:f>G178</x:f>
        <x:v>2156.874298100861</x:v>
      </x:c>
    </x:row>
    <x:row r="199">
      <x:c r="I199" t="n">
        <x:f>A179</x:f>
        <x:v>350</x:v>
      </x:c>
      <x:c r="J199" t="n">
        <x:f>F179</x:f>
        <x:v>-131.6366236206042</x:v>
      </x:c>
      <x:c r="K199" t="n">
        <x:f>G179</x:f>
        <x:v>2174.32004336609</x:v>
      </x:c>
    </x:row>
    <x:row r="200">
      <x:c r="I200" t="n">
        <x:f>A180</x:f>
        <x:v>352</x:v>
      </x:c>
      <x:c r="J200" t="n">
        <x:f>F180</x:f>
        <x:v>-105.50227105942963</x:v>
      </x:c>
      <x:c r="K200" t="n">
        <x:f>G180</x:f>
        <x:v>2188.6412423292873</x:v>
      </x:c>
    </x:row>
    <x:row r="201">
      <x:c r="I201" t="n">
        <x:f>A181</x:f>
        <x:v>354</x:v>
      </x:c>
      <x:c r="J201" t="n">
        <x:f>F181</x:f>
        <x:v>-79.2393802323482</x:v>
      </x:c>
      <x:c r="K201" t="n">
        <x:f>G181</x:f>
        <x:v>2199.809533143729</x:v>
      </x:c>
    </x:row>
    <x:row r="202">
      <x:c r="I202" t="n">
        <x:f>A182</x:f>
        <x:v>356</x:v>
      </x:c>
      <x:c r="J202" t="n">
        <x:f>F182</x:f>
        <x:v>-52.879948426344356</x:v>
      </x:c>
      <x:c r="K202" t="n">
        <x:f>G182</x:f>
        <x:v>2207.802764918957</x:v>
      </x:c>
    </x:row>
    <x:row r="203">
      <x:c r="I203" t="n">
        <x:f>A183</x:f>
        <x:v>358</x:v>
      </x:c>
      <x:c r="J203" t="n">
        <x:f>F183</x:f>
        <x:v>-26.456090548714712</x:v>
      </x:c>
      <x:c r="K203" t="n">
        <x:f>G183</x:f>
        <x:v>2212.6050663339765</x:v>
      </x:c>
    </x:row>
    <x:row r="204">
      <x:c r="I204" t="n">
        <x:f>A184</x:f>
        <x:v>360</x:v>
      </x:c>
      <x:c r="J204" t="n">
        <x:f>F184</x:f>
        <x:v>0</x:v>
      </x:c>
      <x:c r="K204" t="n">
        <x:f>G184</x:f>
        <x:v>2214.2068948523915</x:v>
      </x:c>
    </x:row>
  </x:sheetData>
  <x:mergeCells>
    <x:mergeCell ref="A1:J2"/>
  </x:mergeCells>
  <x:conditionalFormatting sqref="D4:D184">
    <x:cfRule type="colorScale" priority="1">
      <x:colorScale>
        <x:cfvo type="min"/>
        <x:cfvo type="percentile" val="50"/>
        <x:cfvo type="max"/>
        <x:color rgb="FFDCFCE7"/>
        <x:color rgb="FFF8FAFC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e26e48c580ea4f57"/>
</x:worksheet>
</file>

<file path=xl/worksheets/sheet4.xml><?xml version="1.0" encoding="utf-8"?>
<x:worksheet xmlns:x="http://schemas.openxmlformats.org/spreadsheetml/2006/main">
  <x:sheetFormatPr baseColWidth="10" defaultColWidth="14.453125" defaultRowHeight="15"/>
  <x:cols>
    <x:col min="1" max="1" width="31" hidden="0" customWidth="1"/>
    <x:col min="2" max="2" width="17" hidden="0" customWidth="1"/>
    <x:col min="3" max="3" width="15" hidden="0" customWidth="1"/>
    <x:col min="4" max="4" width="11" hidden="0" customWidth="1"/>
    <x:col min="5" max="6" width="13.54296875" customWidth="1"/>
    <x:col min="7" max="7" width="12" hidden="0" customWidth="1"/>
    <x:col min="8" max="8" width="11.453125" customWidth="1"/>
    <x:col min="9" max="26" width="10.7265625" customWidth="1"/>
    <x:col min="49" max="49" width="27.54296875" customWidth="1"/>
    <x:col min="50" max="50" width="27.54296875" customWidth="1"/>
    <x:col min="51" max="55" width="14.453125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1" max="31" width="12" hidden="0" customWidth="1"/>
    <x:col min="32" max="32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5" max="45" width="12" hidden="0" customWidth="1"/>
    <x:col min="46" max="46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6" max="56" width="12" hidden="0" customWidth="1"/>
    <x:col min="57" max="57" width="12" hidden="0" customWidth="1"/>
    <x:col min="5" max="5" width="38" hidden="0" customWidth="1"/>
  </x:cols>
  <x:sheetData>
    <x:row r="1" ht="15" customHeight="1">
      <x:c r="A1" s="165" t="s">
        <x:v>0</x:v>
      </x:c>
      <x:c r="B1" s="166"/>
      <x:c r="C1" s="166"/>
      <x:c r="D1" s="166"/>
      <x:c r="AW1" t="s">
        <x:v>1</x:v>
      </x:c>
    </x:row>
    <x:row r="2" ht="14.5">
      <x:c r="A2" s="3"/>
      <x:c r="B2" s="3"/>
    </x:row>
    <x:row r="3" ht="15.5">
      <x:c r="A3" s="192" t="s">
        <x:v>2</x:v>
      </x:c>
      <x:c r="B3" s="193" t="s">
        <x:v>3</x:v>
      </x:c>
      <x:c r="C3" s="208" t="n">
        <x:f>Inputs!C6</x:f>
        <x:v>4</x:v>
      </x:c>
      <x:c r="D3" s="218"/>
      <x:c r="K3" s="5"/>
      <x:c r="AW3" t="s">
        <x:v>4</x:v>
      </x:c>
      <x:c r="AX3" s="32" t="s">
        <x:v>5</x:v>
      </x:c>
      <x:c r="AY3" s="40" t="n">
        <x:f>BA3*10^-3</x:f>
        <x:v>0.08</x:v>
      </x:c>
      <x:c r="AZ3" s="40" t="s">
        <x:v>6</x:v>
      </x:c>
      <x:c r="BA3" t="n">
        <x:f>Inputs!C25</x:f>
        <x:v>80</x:v>
      </x:c>
      <x:c r="BB3" s="32" t="s">
        <x:v>7</x:v>
      </x:c>
      <x:c r="BC3" s="32"/>
    </x:row>
    <x:row r="4" ht="14.5">
      <x:c r="A4" s="192" t="s">
        <x:v>8</x:v>
      </x:c>
      <x:c r="B4" s="193" t="s">
        <x:v>9</x:v>
      </x:c>
      <x:c r="C4" s="208" t="n">
        <x:f>Inputs!C7</x:f>
        <x:v>135</x:v>
      </x:c>
      <x:c r="D4" s="218" t="s">
        <x:v>10</x:v>
      </x:c>
      <x:c r="AW4" t="s">
        <x:v>11</x:v>
      </x:c>
      <x:c r="AX4" s="32" t="s">
        <x:v>12</x:v>
      </x:c>
      <x:c r="AY4" s="40" t="n">
        <x:f>BA4*10^-3</x:f>
        <x:v>0.08</x:v>
      </x:c>
      <x:c r="AZ4" s="40" t="s">
        <x:v>6</x:v>
      </x:c>
      <x:c r="BA4" t="n">
        <x:f>Inputs!C26</x:f>
        <x:v>80</x:v>
      </x:c>
      <x:c r="BB4" s="32" t="s">
        <x:v>7</x:v>
      </x:c>
      <x:c r="BC4" s="32"/>
    </x:row>
    <x:row r="5" ht="14.5">
      <x:c r="A5" s="192" t="s">
        <x:v>13</x:v>
      </x:c>
      <x:c r="B5" s="193" t="s">
        <x:v>14</x:v>
      </x:c>
      <x:c r="C5" s="208" t="n">
        <x:f>C4*PI()/180</x:f>
        <x:v>2.356194490192345</x:v>
      </x:c>
      <x:c r="D5" s="218" t="s">
        <x:v>15</x:v>
      </x:c>
      <x:c r="E5" s="7"/>
      <x:c r="F5" s="7"/>
      <x:c r="AW5" t="s">
        <x:v>16</x:v>
      </x:c>
      <x:c r="AX5" s="32" t="s">
        <x:v>17</x:v>
      </x:c>
      <x:c r="AY5" s="40" t="n">
        <x:f>AY3+AY4</x:f>
        <x:v>0.16</x:v>
      </x:c>
      <x:c r="AZ5" s="40" t="s">
        <x:v>6</x:v>
      </x:c>
    </x:row>
    <x:row r="6" ht="14.5">
      <x:c r="A6" s="192" t="s">
        <x:v>18</x:v>
      </x:c>
      <x:c r="B6" s="193" t="s">
        <x:v>19</x:v>
      </x:c>
      <x:c r="C6" s="208" t="n">
        <x:f>Inputs!C8</x:f>
        <x:v>0.035</x:v>
      </x:c>
      <x:c r="D6" s="219" t="s">
        <x:v>20</x:v>
      </x:c>
      <x:c r="E6" s="9"/>
      <x:c r="AW6" t="s">
        <x:v>21</x:v>
      </x:c>
      <x:c r="AX6" s="32" t="s">
        <x:v>22</x:v>
      </x:c>
      <x:c r="AY6" s="46" t="n">
        <x:f>C6/AY10</x:f>
        <x:v>0.0175</x:v>
      </x:c>
      <x:c r="AZ6" s="46" t="s">
        <x:v>20</x:v>
      </x:c>
      <x:c r="BB6" s="32"/>
    </x:row>
    <x:row r="7" ht="14.5">
      <x:c r="A7" s="192" t="s">
        <x:v>23</x:v>
      </x:c>
      <x:c r="B7" s="193" t="s">
        <x:v>24</x:v>
      </x:c>
      <x:c r="C7" s="208" t="n">
        <x:f>Inputs!C9</x:f>
        <x:v>0.111</x:v>
      </x:c>
      <x:c r="D7" s="218" t="s">
        <x:v>20</x:v>
      </x:c>
      <x:c r="AW7" s="32" t="s">
        <x:v>25</x:v>
      </x:c>
      <x:c r="AX7" s="32" t="s">
        <x:v>26</x:v>
      </x:c>
      <x:c r="AY7" s="40" t="n">
        <x:f>Inputs!C27</x:f>
        <x:v>110</x:v>
      </x:c>
      <x:c r="AZ7" s="41" t="s">
        <x:v>27</x:v>
      </x:c>
    </x:row>
    <x:row r="8" ht="14.5">
      <x:c r="A8" s="192" t="s">
        <x:v>28</x:v>
      </x:c>
      <x:c r="B8" s="193" t="s">
        <x:v>29</x:v>
      </x:c>
      <x:c r="C8" s="208" t="n">
        <x:f>C6/C7</x:f>
        <x:v>0.3153153153153153</x:v>
      </x:c>
      <x:c r="D8" s="218"/>
      <x:c r="AW8" s="32" t="s">
        <x:v>30</x:v>
      </x:c>
      <x:c r="AX8" s="32" t="s">
        <x:v>31</x:v>
      </x:c>
      <x:c r="AY8" s="44" t="n">
        <x:f>RADIANS(AY7)</x:f>
        <x:v>1.9198621771937625</x:v>
      </x:c>
      <x:c r="AZ8" s="45" t="s">
        <x:v>32</x:v>
      </x:c>
    </x:row>
    <x:row r="9" ht="14.5">
      <x:c r="A9" s="194" t="s">
        <x:v>33</x:v>
      </x:c>
      <x:c r="B9" s="193" t="s">
        <x:v>34</x:v>
      </x:c>
      <x:c r="C9" s="209" t="n">
        <x:f>Inputs!C10</x:f>
        <x:v>1.077566280181299</x:v>
      </x:c>
      <x:c r="D9" s="218" t="s">
        <x:v>24</x:v>
      </x:c>
      <x:c r="AW9" s="32" t="s">
        <x:v>35</x:v>
      </x:c>
      <x:c r="AX9" s="32" t="s">
        <x:v>36</x:v>
      </x:c>
      <x:c r="AY9" s="46" t="n">
        <x:f>r_*Omega</x:f>
        <x:v>628.3185307179587</x:v>
      </x:c>
      <x:c r="AZ9" s="45" t="s">
        <x:v>37</x:v>
      </x:c>
    </x:row>
    <x:row r="10" ht="14.5">
      <x:c r="A10" s="194" t="s">
        <x:v>38</x:v>
      </x:c>
      <x:c r="B10" s="193" t="s">
        <x:v>39</x:v>
      </x:c>
      <x:c r="C10" s="208" t="n">
        <x:f>C9/C3</x:f>
        <x:v>0.26939157004532477</x:v>
      </x:c>
      <x:c r="D10" s="218" t="s">
        <x:v>24</x:v>
      </x:c>
      <x:c r="AW10" s="32" t="s">
        <x:v>40</x:v>
      </x:c>
      <x:c r="AX10" s="32" t="s">
        <x:v>41</x:v>
      </x:c>
      <x:c r="AY10" s="42" t="n">
        <x:f>Inputs!C28</x:f>
        <x:v>2</x:v>
      </x:c>
      <x:c r="AZ10" s="43"/>
    </x:row>
    <x:row r="11" ht="14.5">
      <x:c r="A11" s="192" t="s">
        <x:v>42</x:v>
      </x:c>
      <x:c r="B11" s="193" t="s">
        <x:v>43</x:v>
      </x:c>
      <x:c r="C11" s="208" t="n">
        <x:f>SQRT((C10*10^-3)/(C6*2*PI()))</x:f>
        <x:v>0.034999999999999996</x:v>
      </x:c>
      <x:c r="D11" s="218" t="s">
        <x:v>20</x:v>
      </x:c>
    </x:row>
    <x:row r="12" ht="14.5">
      <x:c r="A12" s="192" t="s">
        <x:v>44</x:v>
      </x:c>
      <x:c r="B12" s="193" t="s">
        <x:v>45</x:v>
      </x:c>
      <x:c r="C12" s="208" t="n">
        <x:f>Inputs!C11</x:f>
        <x:v>3000</x:v>
      </x:c>
      <x:c r="D12" s="218" t="s">
        <x:v>46</x:v>
      </x:c>
    </x:row>
    <x:row r="13" ht="14.5">
      <x:c r="A13" s="192" t="s">
        <x:v>47</x:v>
      </x:c>
      <x:c r="B13" s="195" t="s">
        <x:v>48</x:v>
      </x:c>
      <x:c r="C13" s="208" t="n">
        <x:f>C12*2*PI()/60</x:f>
        <x:v>314.1592653589793</x:v>
      </x:c>
      <x:c r="D13" s="218" t="s">
        <x:v>49</x:v>
      </x:c>
    </x:row>
    <x:row r="14" ht="14.5">
      <x:c r="A14" s="192" t="s">
        <x:v>50</x:v>
      </x:c>
      <x:c r="B14" s="193" t="s">
        <x:v>51</x:v>
      </x:c>
      <x:c r="C14" s="210" t="n">
        <x:f>-0.011665+1.467*(10^-6)*((R_cyl*2*1000)^3)</x:f>
        <x:v>0.4915159999999998</x:v>
      </x:c>
      <x:c r="D14" s="218" t="s">
        <x:v>6</x:v>
      </x:c>
    </x:row>
    <x:row r="15" ht="14.5">
      <x:c r="A15" s="192" t="s">
        <x:v>52</x:v>
      </x:c>
      <x:c r="B15" s="193" t="s">
        <x:v>53</x:v>
      </x:c>
      <x:c r="C15" s="208" t="n">
        <x:f>1.2*C14</x:f>
        <x:v>0.5898191999999998</x:v>
      </x:c>
      <x:c r="D15" s="218" t="s">
        <x:v>6</x:v>
      </x:c>
    </x:row>
    <x:row r="16" ht="14.5">
      <x:c r="A16" s="192" t="s">
        <x:v>54</x:v>
      </x:c>
      <x:c r="B16" s="193" t="s">
        <x:v>55</x:v>
      </x:c>
      <x:c r="C16" s="208" t="n">
        <x:f>Inputs!C12</x:f>
        <x:v>10.7</x:v>
      </x:c>
      <x:c r="D16" s="218" t="s">
        <x:v>6</x:v>
      </x:c>
      <x:c r="F16" s="14"/>
      <x:c r="H16" s="14"/>
    </x:row>
    <x:row r="17" ht="16.5" customHeight="1">
      <x:c r="A17" s="192" t="s">
        <x:v>56</x:v>
      </x:c>
      <x:c r="B17" s="193" t="s">
        <x:v>57</x:v>
      </x:c>
      <x:c r="C17" s="208" t="n">
        <x:f>C16/C3</x:f>
        <x:v>2.675</x:v>
      </x:c>
      <x:c r="D17" s="218" t="s">
        <x:v>6</x:v>
      </x:c>
      <x:c r="F17" s="14"/>
      <x:c r="H17" s="14"/>
    </x:row>
    <x:row r="18" ht="14.5">
      <x:c r="A18" s="192" t="s">
        <x:v>58</x:v>
      </x:c>
      <x:c r="B18" s="193" t="s">
        <x:v>59</x:v>
      </x:c>
      <x:c r="C18" s="208" t="n">
        <x:f>Inputs!C13</x:f>
        <x:v>-0.002</x:v>
      </x:c>
      <x:c r="D18" s="218" t="s">
        <x:v>20</x:v>
      </x:c>
      <x:c r="E18" s="225" t="s">
        <x:v>60</x:v>
      </x:c>
      <x:c r="F18" s="14"/>
      <x:c r="H18" s="14"/>
    </x:row>
    <x:row r="19" ht="14.5">
      <x:c r="A19" s="192" t="s">
        <x:v>61</x:v>
      </x:c>
      <x:c r="B19" s="193" t="s">
        <x:v>62</x:v>
      </x:c>
      <x:c r="C19" s="208" t="n">
        <x:f>Mvil_elem*ABS(OG)/r_</x:f>
        <x:v>0.002675</x:v>
      </x:c>
      <x:c r="D19" s="218" t="s">
        <x:v>6</x:v>
      </x:c>
      <x:c r="E19" s="225"/>
      <x:c r="F19" s="14"/>
      <x:c r="H19" s="14"/>
    </x:row>
    <x:row r="20" ht="14.5">
      <x:c r="A20" s="192" t="s">
        <x:v>63</x:v>
      </x:c>
      <x:c r="B20" s="193" t="s">
        <x:v>64</x:v>
      </x:c>
      <x:c r="C20" s="208"/>
      <x:c r="D20" s="218"/>
      <x:c r="E20" s="226" t="s">
        <x:v>65</x:v>
      </x:c>
      <x:c r="F20" s="232"/>
      <x:c r="G20" s="232"/>
      <x:c r="H20" s="232"/>
      <x:c r="I20" s="233"/>
      <x:c r="J20" s="233"/>
      <x:c r="K20" s="130" t="str">
        <x:v>p_comb</x:v>
      </x:c>
      <x:c r="L20" s="130" t="n">
        <x:f>Inputs!C20</x:f>
        <x:v>15</x:v>
      </x:c>
      <x:c r="M20" s="130" t="str">
        <x:v>MPa</x:v>
      </x:c>
    </x:row>
    <x:row r="21" ht="14.5">
      <x:c r="A21" s="192" t="s">
        <x:v>66</x:v>
      </x:c>
      <x:c r="B21" s="193" t="s">
        <x:v>67</x:v>
      </x:c>
      <x:c r="C21" s="208" t="n">
        <x:f>C15/3</x:f>
        <x:v>0.19660639999999993</x:v>
      </x:c>
      <x:c r="D21" s="218" t="s">
        <x:v>6</x:v>
      </x:c>
      <x:c r="E21" s="226" t="s">
        <x:v>68</x:v>
      </x:c>
      <x:c r="F21" s="232"/>
      <x:c r="G21" s="234" t="n">
        <x:f>PI()*(R_cyl*1000)^2*$L$20</x:f>
        <x:v>57726.76500971243</x:v>
      </x:c>
      <x:c r="H21" s="234" t="s">
        <x:v>45</x:v>
      </x:c>
      <x:c r="I21" s="233"/>
      <x:c r="J21" s="233"/>
      <x:c r="K21" s="130" t="str">
        <x:v>a</x:v>
      </x:c>
      <x:c r="L21" s="130" t="n">
        <x:f>Inputs!C21</x:f>
        <x:v>7</x:v>
      </x:c>
      <x:c r="M21" s="130" t="str">
        <x:v>mm</x:v>
      </x:c>
    </x:row>
    <x:row r="22" ht="14.5">
      <x:c r="A22" s="192" t="s">
        <x:v>69</x:v>
      </x:c>
      <x:c r="B22" s="193" t="s">
        <x:v>70</x:v>
      </x:c>
      <x:c r="C22" s="208" t="n">
        <x:f>C15*2/3</x:f>
        <x:v>0.39321279999999986</x:v>
      </x:c>
      <x:c r="D22" s="218" t="s">
        <x:v>6</x:v>
      </x:c>
      <x:c r="E22" s="226" t="s">
        <x:v>71</x:v>
      </x:c>
      <x:c r="F22" s="232"/>
      <x:c r="G22" s="234" t="n">
        <x:f>G21/($L$21*$L$22)</x:f>
        <x:v>392.699081698724</x:v>
      </x:c>
      <x:c r="H22" s="234" t="s">
        <x:v>72</x:v>
      </x:c>
      <x:c r="I22" s="233"/>
      <x:c r="J22" s="233"/>
      <x:c r="K22" s="130" t="str">
        <x:v>b</x:v>
      </x:c>
      <x:c r="L22" s="130" t="n">
        <x:f>Inputs!C22</x:f>
        <x:v>21</x:v>
      </x:c>
      <x:c r="M22" s="130" t="str">
        <x:v>mm</x:v>
      </x:c>
    </x:row>
    <x:row r="23" ht="14.5">
      <x:c r="A23" s="192" t="s">
        <x:v>73</x:v>
      </x:c>
      <x:c r="B23" s="193" t="s">
        <x:v>74</x:v>
      </x:c>
      <x:c r="C23" s="208" t="n">
        <x:f>C19+C22</x:f>
        <x:v>0.39588779999999985</x:v>
      </x:c>
      <x:c r="D23" s="218" t="s">
        <x:v>6</x:v>
      </x:c>
      <x:c r="E23" s="225"/>
      <x:c r="F23" s="14"/>
      <x:c r="H23" s="14"/>
    </x:row>
    <x:row r="24" ht="14.5">
      <x:c r="A24" s="192" t="s">
        <x:v>75</x:v>
      </x:c>
      <x:c r="B24" s="193" t="s">
        <x:v>76</x:v>
      </x:c>
      <x:c r="C24" s="208" t="n">
        <x:f>C14+C21</x:f>
        <x:v>0.6881223999999997</x:v>
      </x:c>
      <x:c r="D24" s="218" t="s">
        <x:v>6</x:v>
      </x:c>
      <x:c r="E24" s="225"/>
      <x:c r="F24" s="14"/>
      <x:c r="H24" s="14"/>
    </x:row>
    <x:row r="25" ht="15.75" customHeight="1">
      <x:c r="A25" s="192" t="s">
        <x:v>77</x:v>
      </x:c>
      <x:c r="B25" s="193" t="s">
        <x:v>78</x:v>
      </x:c>
      <x:c r="C25" s="208" t="n">
        <x:f>Inputs!C16</x:f>
        <x:v>0.2</x:v>
      </x:c>
      <x:c r="D25" s="218" t="s">
        <x:v>20</x:v>
      </x:c>
      <x:c r="F25" s="14"/>
      <x:c r="H25" s="14"/>
    </x:row>
    <x:row r="26" ht="15.75" customHeight="1">
      <x:c r="A26" s="192" t="s">
        <x:v>79</x:v>
      </x:c>
      <x:c r="B26" s="193" t="s">
        <x:v>80</x:v>
      </x:c>
      <x:c r="C26" s="208" t="n">
        <x:f>Inputs!C17</x:f>
        <x:v>0.1</x:v>
      </x:c>
      <x:c r="D26" s="218" t="s">
        <x:v>20</x:v>
      </x:c>
      <x:c r="F26" s="14"/>
      <x:c r="H26" s="14"/>
    </x:row>
    <x:row r="27" ht="15.75" customHeight="1">
      <x:c r="A27" s="192" t="s">
        <x:v>81</x:v>
      </x:c>
      <x:c r="B27" s="193" t="s">
        <x:v>82</x:v>
      </x:c>
      <x:c r="C27" s="208" t="n">
        <x:f>Inputs!C18</x:f>
        <x:v>0.1</x:v>
      </x:c>
      <x:c r="D27" s="218" t="s">
        <x:v>20</x:v>
      </x:c>
      <x:c r="F27" s="14"/>
      <x:c r="H27" s="14"/>
      <x:c r="I27" s="39"/>
      <x:c r="L27" s="6"/>
      <x:c r="M27" s="6"/>
    </x:row>
    <x:row r="28" ht="15.75" customHeight="1">
      <x:c r="A28" s="192" t="s">
        <x:v>83</x:v>
      </x:c>
      <x:c r="B28" s="193" t="s">
        <x:v>84</x:v>
      </x:c>
      <x:c r="C28" s="208" t="n">
        <x:f>Inputs!C19</x:f>
        <x:v>0.2</x:v>
      </x:c>
      <x:c r="D28" s="218" t="s">
        <x:v>20</x:v>
      </x:c>
      <x:c r="F28" s="14"/>
      <x:c r="H28" s="14"/>
      <x:c r="L28" s="6"/>
      <x:c r="M28" s="6"/>
    </x:row>
    <x:row r="29" ht="15.75" customHeight="1">
      <x:c r="C29" s="52"/>
      <x:c r="F29" s="14"/>
      <x:c r="H29" s="14"/>
    </x:row>
    <x:row r="30" ht="15.75" customHeight="1">
      <x:c r="F30" s="14"/>
      <x:c r="H30" s="14"/>
      <x:c r="L30" s="243" t="s">
        <x:v>85</x:v>
      </x:c>
      <x:c r="M30" s="243"/>
      <x:c r="N30" s="243"/>
      <x:c r="O30" s="243"/>
      <x:c r="P30" s="243"/>
      <x:c r="Q30" s="243"/>
      <x:c r="R30" s="243"/>
      <x:c r="S30" s="243"/>
      <x:c r="V30" s="253" t="s">
        <x:v>86</x:v>
      </x:c>
      <x:c r="W30" s="253"/>
      <x:c r="X30" s="253"/>
      <x:c r="Y30" s="253"/>
      <x:c r="Z30" s="253"/>
      <x:c r="AA30" s="253"/>
      <x:c r="AB30" s="253"/>
      <x:c r="AC30" s="253"/>
      <x:c r="AD30" s="253"/>
      <x:c r="AE30" s="253"/>
      <x:c r="AF30" s="253"/>
      <x:c r="AJ30" s="265" t="s">
        <x:v>87</x:v>
      </x:c>
      <x:c r="AK30" s="265"/>
      <x:c r="AL30" s="265"/>
      <x:c r="AM30" s="265"/>
      <x:c r="AN30" s="265"/>
      <x:c r="AO30" s="265"/>
      <x:c r="AP30" s="265"/>
      <x:c r="AQ30" s="265"/>
      <x:c r="AR30" s="265"/>
      <x:c r="AS30" s="265"/>
      <x:c r="AT30" s="265"/>
      <x:c r="AY30" s="276" t="s">
        <x:v>88</x:v>
      </x:c>
      <x:c r="AZ30" s="276"/>
      <x:c r="BA30" s="276"/>
      <x:c r="BB30" s="276"/>
      <x:c r="BC30" s="276"/>
      <x:c r="BD30" s="276"/>
      <x:c r="BE30" s="276"/>
    </x:row>
    <x:row r="31" ht="15.75" customHeight="1">
      <x:c r="A31" s="15" t="s">
        <x:v>89</x:v>
      </x:c>
      <x:c r="B31" s="15" t="s">
        <x:v>90</x:v>
      </x:c>
      <x:c r="C31" s="15" t="s">
        <x:v>91</x:v>
      </x:c>
      <x:c r="D31" s="15" t="s">
        <x:v>92</x:v>
      </x:c>
      <x:c r="E31" s="16" t="s">
        <x:v>93</x:v>
      </x:c>
      <x:c r="F31" s="16" t="s">
        <x:v>94</x:v>
      </x:c>
      <x:c r="G31" s="16" t="s">
        <x:v>95</x:v>
      </x:c>
      <x:c r="H31" s="16" t="s">
        <x:v>96</x:v>
      </x:c>
      <x:c r="L31" s="223" t="s">
        <x:v>97</x:v>
      </x:c>
      <x:c r="M31" s="223" t="s">
        <x:v>98</x:v>
      </x:c>
      <x:c r="N31" s="223" t="s">
        <x:v>99</x:v>
      </x:c>
      <x:c r="O31" s="223" t="s">
        <x:v>100</x:v>
      </x:c>
      <x:c r="P31" s="223" t="s">
        <x:v>101</x:v>
      </x:c>
      <x:c r="Q31" s="223" t="s">
        <x:v>102</x:v>
      </x:c>
      <x:c r="R31" s="223" t="s">
        <x:v>103</x:v>
      </x:c>
      <x:c r="S31" s="223" t="s">
        <x:v>104</x:v>
      </x:c>
      <x:c r="V31" s="259" t="s">
        <x:v>105</x:v>
      </x:c>
      <x:c r="W31" s="259" t="s">
        <x:v>106</x:v>
      </x:c>
      <x:c r="X31" s="259" t="s">
        <x:v>107</x:v>
      </x:c>
      <x:c r="Y31" s="259" t="s">
        <x:v>108</x:v>
      </x:c>
      <x:c r="Z31" s="259" t="s">
        <x:v>109</x:v>
      </x:c>
      <x:c r="AA31" s="259" t="s">
        <x:v>110</x:v>
      </x:c>
      <x:c r="AB31" s="259" t="s">
        <x:v>111</x:v>
      </x:c>
      <x:c r="AC31" s="259" t="s">
        <x:v>112</x:v>
      </x:c>
      <x:c r="AD31" s="259"/>
      <x:c r="AE31" s="281" t="s">
        <x:v>113</x:v>
      </x:c>
      <x:c r="AF31" s="281" t="s">
        <x:v>114</x:v>
      </x:c>
      <x:c r="AJ31" s="271" t="s">
        <x:v>115</x:v>
      </x:c>
      <x:c r="AK31" s="271" t="s">
        <x:v>116</x:v>
      </x:c>
      <x:c r="AL31" s="271" t="s">
        <x:v>117</x:v>
      </x:c>
      <x:c r="AM31" s="271" t="s">
        <x:v>118</x:v>
      </x:c>
      <x:c r="AN31" s="271" t="s">
        <x:v>119</x:v>
      </x:c>
      <x:c r="AO31" s="271" t="s">
        <x:v>120</x:v>
      </x:c>
      <x:c r="AP31" s="271" t="s">
        <x:v>121</x:v>
      </x:c>
      <x:c r="AQ31" s="271" t="s">
        <x:v>122</x:v>
      </x:c>
      <x:c r="AR31" s="271"/>
      <x:c r="AS31" s="285" t="s">
        <x:v>123</x:v>
      </x:c>
      <x:c r="AT31" s="285" t="s">
        <x:v>124</x:v>
      </x:c>
      <x:c r="AY31" s="279" t="s">
        <x:v>125</x:v>
      </x:c>
      <x:c r="AZ31" s="279" t="s">
        <x:v>126</x:v>
      </x:c>
      <x:c r="BA31" s="279" t="s">
        <x:v>127</x:v>
      </x:c>
      <x:c r="BB31" s="279" t="s">
        <x:v>128</x:v>
      </x:c>
      <x:c r="BC31" s="279"/>
      <x:c r="BD31" s="289" t="s">
        <x:v>129</x:v>
      </x:c>
      <x:c r="BE31" s="289" t="s">
        <x:v>130</x:v>
      </x:c>
    </x:row>
    <x:row r="32" ht="15.75" customHeight="1">
      <x:c r="A32" s="21">
        <x:v>0</x:v>
      </x:c>
      <x:c r="B32" s="21" t="n">
        <x:f>D32+180</x:f>
        <x:v>180</x:v>
      </x:c>
      <x:c r="C32" s="21" t="n">
        <x:f t="shared" ref="C32:C212" si="0">A32+180</x:f>
        <x:v>180</x:v>
      </x:c>
      <x:c r="D32" s="21" t="n">
        <x:f>A32</x:f>
        <x:v>0</x:v>
      </x:c>
      <x:c r="E32" s="22" t="n">
        <x:f t="shared" ref="E32:H32" si="1">A32*PI()/180</x:f>
        <x:v>0</x:v>
      </x:c>
      <x:c r="F32" s="22">
        <x:f t="shared" si="1"/>
        <x:v>3.1415926535897931</x:v>
      </x:c>
      <x:c r="G32" s="22">
        <x:f t="shared" si="1"/>
        <x:v>3.1415926535897931</x:v>
      </x:c>
      <x:c r="H32" s="22">
        <x:f t="shared" si="1"/>
        <x:v>0</x:v>
      </x:c>
      <x:c r="I32" s="23"/>
      <x:c r="J32" s="23"/>
      <x:c r="K32" s="23"/>
      <x:c r="L32" s="249" t="n">
        <x:f t="shared" ref="L32:L63" si="2">Mrot*Omega^2*$C$6*SIN(E32)</x:f>
        <x:v>0</x:v>
      </x:c>
      <x:c r="M32" s="249" t="n">
        <x:f t="shared" ref="M32:M63" si="3">Mrot*Omega^2*$C$6*SIN(F32)</x:f>
        <x:v>1.6747529823676011e-13</x:v>
      </x:c>
      <x:c r="N32" s="249" t="n">
        <x:f t="shared" ref="N32:N63" si="4">Mrot*Omega^2*$C$6*SIN(G32)</x:f>
        <x:v>1.6747529823676011e-13</x:v>
      </x:c>
      <x:c r="O32" s="249" t="n">
        <x:f t="shared" ref="O32:O63" si="5">Mrot*Omega^2*$C$6*SIN(H32)</x:f>
        <x:v>0</x:v>
      </x:c>
      <x:c r="P32" s="249" t="n">
        <x:f t="shared" ref="P32:P63" si="6">(Mrot+Malt)*(Omega^2)*$C$6*COS(E32)+Malt*(Omega^2)*$C$6*lambda*COS(2*E32)</x:f>
        <x:v>4494.0750755873205</x:v>
      </x:c>
      <x:c r="Q32" s="249" t="n">
        <x:f t="shared" ref="Q32:Q63" si="7">(Mrot+Malt)*Omega^2*$C$6*COS(F32)+Malt*Omega^2*$C$6*lambda*COS(2*F32)</x:f>
        <x:v>-2995.0512129347067</x:v>
      </x:c>
      <x:c r="R32" s="249" t="n">
        <x:f t="shared" ref="R32:R63" si="8">(Mrot+Malt)*Omega^2*$C$6*COS(G32)+Malt*Omega^2*$C$6*lambda*COS(2*G32)</x:f>
        <x:v>-2995.0512129347067</x:v>
      </x:c>
      <x:c r="S32" s="249" t="n">
        <x:f t="shared" ref="S32:S63" si="9">(Mrot+Malt)*Omega^2*$C$6*COS(H32)+Malt*Omega^2*$C$6*lambda*COS(2*H32)</x:f>
        <x:v>4494.0750755873205</x:v>
      </x:c>
      <x:c r="T32" s="23"/>
      <x:c r="U32" s="23"/>
      <x:c r="V32" s="260" t="n">
        <x:f>L32*COS(RADIANS(67.5))+P32*COS(RADIANS(22.5))</x:f>
        <x:v>4151.983979904239</x:v>
      </x:c>
      <x:c r="W32" s="260" t="n">
        <x:f>M32*COS(RADIANS(67.5))-Q32*COS(RADIANS(22.5))</x:f>
        <x:v>2767.066514453479</x:v>
      </x:c>
      <x:c r="X32" s="260" t="n">
        <x:f>N32*COS(RADIANS(67.5))+R32*COS(RADIANS(22.5))</x:f>
        <x:v>-2767.066514453479</x:v>
      </x:c>
      <x:c r="Y32" s="260" t="n">
        <x:f>O32*COS(RADIANS(67.5))-S32*COS(RADIANS(22.5))</x:f>
        <x:v>-4151.983979904239</x:v>
      </x:c>
      <x:c r="Z32" s="260" t="n">
        <x:f>-L32*COS(RADIANS(22.5))+P32*COS(RADIANS(67.5))</x:f>
        <x:v>1719.8080752321564</x:v>
      </x:c>
      <x:c r="AA32" s="260" t="n">
        <x:f>M32*COS(RADIANS(22.5))+Q32*COS(RADIANS(67.5))</x:f>
        <x:v>-1146.1564782750788</x:v>
      </x:c>
      <x:c r="AB32" s="260" t="n">
        <x:f>-N32*COS(RADIANS(22.5))+R32*COS(RADIANS(67.5))</x:f>
        <x:v>-1146.1564782750793</x:v>
      </x:c>
      <x:c r="AC32" s="260" t="n">
        <x:f>O32*COS(RADIANS(22.5))+S32*COS(RADIANS(67.5))</x:f>
        <x:v>1719.8080752321564</x:v>
      </x:c>
      <x:c r="AD32" s="260"/>
      <x:c r="AE32" s="282" t="n">
        <x:f>V32+W32+X32+Y32</x:f>
        <x:v>-9.094947017729282e-13</x:v>
      </x:c>
      <x:c r="AF32" s="282" t="n">
        <x:f t="shared" ref="AF32:AF212" si="10">Z32+AA32+AB32+AC32</x:f>
        <x:v>1147.3031939141547</x:v>
      </x:c>
      <x:c r="AJ32" s="272" t="n">
        <x:f t="shared" ref="AJ32:AJ63" si="11">-Z32*O_O1</x:f>
        <x:v>-343.9616150464313</x:v>
      </x:c>
      <x:c r="AK32" s="272" t="n">
        <x:f t="shared" ref="AK32:AK63" si="12">-AA32*O_O2</x:f>
        <x:v>114.61564782750789</x:v>
      </x:c>
      <x:c r="AL32" s="272" t="n">
        <x:f t="shared" ref="AL32:AL63" si="13">AB32*O_O3</x:f>
        <x:v>-114.61564782750793</x:v>
      </x:c>
      <x:c r="AM32" s="272" t="n">
        <x:f t="shared" ref="AM32:AM63" si="14">AC32*O_O4</x:f>
        <x:v>343.9616150464313</x:v>
      </x:c>
      <x:c r="AN32" s="272" t="n">
        <x:f>V32*O_O1</x:f>
        <x:v>830.3967959808479</x:v>
      </x:c>
      <x:c r="AO32" s="272" t="n">
        <x:f>W32*O_O2</x:f>
        <x:v>276.7066514453479</x:v>
      </x:c>
      <x:c r="AP32" s="272" t="n">
        <x:f t="shared" ref="AP32:AP63" si="15">-X32*O_O3</x:f>
        <x:v>276.7066514453479</x:v>
      </x:c>
      <x:c r="AQ32" s="272" t="n">
        <x:f t="shared" ref="AQ32:AQ63" si="16">-Y32*O_O4</x:f>
        <x:v>830.3967959808479</x:v>
      </x:c>
      <x:c r="AR32" s="272"/>
      <x:c r="AS32" s="286" t="n">
        <x:f>AJ32+AK32+AL32+AM32</x:f>
        <x:v>-5.684341886080802e-14</x:v>
      </x:c>
      <x:c r="AT32" s="286" t="n">
        <x:f>AN32+AO32+AP32+AQ32</x:f>
        <x:v>2214.2068948523915</x:v>
      </x:c>
      <x:c r="AY32" s="279" t="n">
        <x:f>m1_*R_den*wm^2*SIN(RADIANS(Vdeg/2+r_*A32+phy_deg))</x:f>
        <x:v>24.10834146076958</x:v>
      </x:c>
      <x:c r="AZ32" s="279" t="n">
        <x:f>m2_*R_den*wm^2*SIN(RADIANS(-(Vdeg/2+r_*A32+phy_deg)))</x:f>
        <x:v>-24.10834146076958</x:v>
      </x:c>
      <x:c r="BA32" s="279" t="n">
        <x:f t="shared" ref="BA32:BA63" si="17">m1_*R_den*wm^2*COS(RADIANS(Vdeg/2+r_*A32+phy_deg))</x:f>
        <x:v>-552.1718005789888</x:v>
      </x:c>
      <x:c r="BB32" s="279" t="n">
        <x:f t="shared" ref="BB32:BB63" si="18">m2_*R_den*wm^2*COS(RADIANS(-(Vdeg/2+r_*A32+phy_deg)))</x:f>
        <x:v>-552.1718005789888</x:v>
      </x:c>
      <x:c r="BC32" s="279"/>
      <x:c r="BD32" s="289" t="n">
        <x:f>AY32+AZ32</x:f>
        <x:v>0</x:v>
      </x:c>
      <x:c r="BE32" s="289" t="n">
        <x:f>BA32+BB32</x:f>
        <x:v>-1104.3436011579777</x:v>
      </x:c>
    </x:row>
    <x:row r="33" ht="15.75" customHeight="1">
      <x:c r="A33" s="21">
        <x:v>2</x:v>
      </x:c>
      <x:c r="B33" s="21" t="n">
        <x:f t="shared" ref="B33:B212" si="19">D33+180</x:f>
        <x:v>182</x:v>
      </x:c>
      <x:c r="C33" s="21">
        <x:f t="shared" si="0"/>
        <x:v>182</x:v>
      </x:c>
      <x:c r="D33" s="21" t="n">
        <x:f t="shared" ref="D33:D212" si="20">A33</x:f>
        <x:v>2</x:v>
      </x:c>
      <x:c r="E33" s="22" t="n">
        <x:f t="shared" ref="E33:H33" si="21">A33*PI()/180</x:f>
        <x:v>0.03490658503988659</x:v>
      </x:c>
      <x:c r="F33" s="22">
        <x:f t="shared" si="21"/>
        <x:v>3.1764992386296798</x:v>
      </x:c>
      <x:c r="G33" s="22">
        <x:f t="shared" si="21"/>
        <x:v>3.1764992386296798</x:v>
      </x:c>
      <x:c r="H33" s="22">
        <x:f t="shared" si="21"/>
        <x:v>3.4906585039886591E-2</x:v>
      </x:c>
      <x:c r="I33" s="23"/>
      <x:c r="J33" s="23"/>
      <x:c r="K33" s="23"/>
      <x:c r="L33" s="249">
        <x:f t="shared" si="2"/>
        <x:v>47.726443433596984</x:v>
      </x:c>
      <x:c r="M33" s="249">
        <x:f t="shared" si="3"/>
        <x:v>-47.726443433596891</x:v>
      </x:c>
      <x:c r="N33" s="249">
        <x:f t="shared" si="4"/>
        <x:v>-47.726443433596891</x:v>
      </x:c>
      <x:c r="O33" s="249">
        <x:f t="shared" si="5"/>
        <x:v>47.726443433596984</x:v>
      </x:c>
      <x:c r="P33" s="249">
        <x:f t="shared" si="6"/>
        <x:v>4489.9682155001747</x:v>
      </x:c>
      <x:c r="Q33" s="249">
        <x:f t="shared" si="7"/>
        <x:v>-2994.5958996363061</x:v>
      </x:c>
      <x:c r="R33" s="249">
        <x:f t="shared" si="8"/>
        <x:v>-2994.5958996363061</x:v>
      </x:c>
      <x:c r="S33" s="249">
        <x:f t="shared" si="9"/>
        <x:v>4489.9682155001747</x:v>
      </x:c>
      <x:c r="T33" s="23"/>
      <x:c r="U33" s="23"/>
      <x:c r="V33" s="260" t="n">
        <x:f t="shared" ref="V33:V96" si="22">L33*COS(RADIANS(67.5))+P33*COS(RADIANS(22.5))</x:f>
        <x:v>4166.453855114585</x:v>
      </x:c>
      <x:c r="W33" s="260" t="n">
        <x:f t="shared" ref="W33:W96" si="23">M33*COS(RADIANS(67.5))-Q33*COS(RADIANS(22.5))</x:f>
        <x:v>2748.3817406284593</x:v>
      </x:c>
      <x:c r="X33" s="260" t="n">
        <x:f t="shared" ref="X33:X96" si="24">N33*COS(RADIANS(67.5))+R33*COS(RADIANS(22.5))</x:f>
        <x:v>-2784.909979003954</x:v>
      </x:c>
      <x:c r="Y33" s="260" t="n">
        <x:f t="shared" ref="Y33:Y96" si="25">O33*COS(RADIANS(67.5))-S33*COS(RADIANS(22.5))</x:f>
        <x:v>-4129.92561673909</x:v>
      </x:c>
      <x:c r="Z33" s="260" t="n">
        <x:f t="shared" ref="Z33:Z96" si="26">-L33*COS(RADIANS(22.5))+P33*COS(RADIANS(67.5))</x:f>
        <x:v>1674.1429636699063</x:v>
      </x:c>
      <x:c r="AA33" s="260" t="n">
        <x:f t="shared" ref="AA33:AA96" si="27">M33*COS(RADIANS(22.5))+Q33*COS(RADIANS(67.5))</x:f>
        <x:v>-1190.0757216671034</x:v>
      </x:c>
      <x:c r="AB33" s="260" t="n">
        <x:f t="shared" ref="AB33:AB96" si="28">-N33*COS(RADIANS(22.5))+R33*COS(RADIANS(67.5))</x:f>
        <x:v>-1101.8887531713879</x:v>
      </x:c>
      <x:c r="AC33" s="260" t="n">
        <x:f t="shared" ref="AC33:AC96" si="29">O33*COS(RADIANS(22.5))+S33*COS(RADIANS(67.5))</x:f>
        <x:v>1762.3299321656223</x:v>
      </x:c>
      <x:c r="AD33" s="260"/>
      <x:c r="AE33" s="282" t="n">
        <x:f>V33+W33+X33+Y33</x:f>
        <x:v>0</x:v>
      </x:c>
      <x:c r="AF33" s="282">
        <x:f t="shared" si="10"/>
        <x:v>1144.5084209970373</x:v>
      </x:c>
      <x:c r="AJ33" s="272">
        <x:f t="shared" si="11"/>
        <x:v>-334.82859273398128</x:v>
      </x:c>
      <x:c r="AK33" s="272">
        <x:f t="shared" si="12"/>
        <x:v>119.00757216671035</x:v>
      </x:c>
      <x:c r="AL33" s="272">
        <x:f t="shared" si="13"/>
        <x:v>-110.18887531713879</x:v>
      </x:c>
      <x:c r="AM33" s="272">
        <x:f t="shared" si="14"/>
        <x:v>352.4659864331245</x:v>
      </x:c>
      <x:c r="AN33" s="272" t="n">
        <x:f t="shared" ref="AN33:AN63" si="30">V33*O_O1</x:f>
        <x:v>833.290771022917</x:v>
      </x:c>
      <x:c r="AO33" s="272" t="n">
        <x:f t="shared" ref="AO33:AO63" si="31">W33*O_O2</x:f>
        <x:v>274.83817406284595</x:v>
      </x:c>
      <x:c r="AP33" s="272">
        <x:f t="shared" si="15"/>
        <x:v>278.49099790039543</x:v>
      </x:c>
      <x:c r="AQ33" s="272">
        <x:f t="shared" si="16"/>
        <x:v>825.9851233478181</x:v>
      </x:c>
      <x:c r="AR33" s="272"/>
      <x:c r="AS33" s="286" t="n">
        <x:f t="shared" ref="AS33:AS212" si="32">AJ33+AK33+AL33+AM33</x:f>
        <x:v>26.45609054871477</x:v>
      </x:c>
      <x:c r="AT33" s="286" t="n">
        <x:f t="shared" ref="AT33:AT212" si="33">AN33+AO33+AP33+AQ33</x:f>
        <x:v>2212.6050663339765</x:v>
      </x:c>
      <x:c r="AY33" s="279" t="n">
        <x:f t="shared" ref="AY33:AY63" si="34">m1_*R_den*wm^2*SIN(RADIANS(Vdeg/2+r_*A33+phy_deg))</x:f>
        <x:v>-14.467942956682531</x:v>
      </x:c>
      <x:c r="AZ33" s="279" t="n">
        <x:f t="shared" ref="AZ33:AZ63" si="35">m2_*R_den*wm^2*SIN(RADIANS(-(Vdeg/2+r_*A33+phy_deg)))</x:f>
        <x:v>14.467942956682531</x:v>
      </x:c>
      <x:c r="BA33" s="279">
        <x:f t="shared" si="17"/>
        <x:v>-552.50845071295862</x:v>
      </x:c>
      <x:c r="BB33" s="279">
        <x:f t="shared" si="18"/>
        <x:v>-552.50845071295862</x:v>
      </x:c>
      <x:c r="BC33" s="279"/>
      <x:c r="BD33" s="289" t="n">
        <x:f t="shared" ref="BD33:BD96" si="36">AY33+AZ33</x:f>
        <x:v>0</x:v>
      </x:c>
      <x:c r="BE33" s="289" t="n">
        <x:f t="shared" ref="BE33:BE96" si="37">BA33+BB33</x:f>
        <x:v>-1105.0169014259172</x:v>
      </x:c>
    </x:row>
    <x:row r="34" ht="15.75" customHeight="1">
      <x:c r="A34" s="21">
        <x:v>4</x:v>
      </x:c>
      <x:c r="B34" s="21">
        <x:f t="shared" si="19"/>
        <x:v>184</x:v>
      </x:c>
      <x:c r="C34" s="21">
        <x:f t="shared" si="0"/>
        <x:v>184</x:v>
      </x:c>
      <x:c r="D34" s="21">
        <x:f t="shared" si="20"/>
        <x:v>4</x:v>
      </x:c>
      <x:c r="E34" s="22" t="n">
        <x:f t="shared" ref="E34:H34" si="38">A34*PI()/180</x:f>
        <x:v>0.06981317007977318</x:v>
      </x:c>
      <x:c r="F34" s="22">
        <x:f t="shared" si="38"/>
        <x:v>3.211405823669566</x:v>
      </x:c>
      <x:c r="G34" s="22">
        <x:f t="shared" si="38"/>
        <x:v>3.211405823669566</x:v>
      </x:c>
      <x:c r="H34" s="22">
        <x:f t="shared" si="38"/>
        <x:v>6.9813170079773182E-2</x:v>
      </x:c>
      <x:c r="I34" s="23"/>
      <x:c r="J34" s="23"/>
      <x:c r="K34" s="23"/>
      <x:c r="L34" s="249">
        <x:f t="shared" si="2"/>
        <x:v>95.39473954756518</x:v>
      </x:c>
      <x:c r="M34" s="249">
        <x:f t="shared" si="3"/>
        <x:v>-95.394739547564527</x:v>
      </x:c>
      <x:c r="N34" s="249">
        <x:f t="shared" si="4"/>
        <x:v>-95.394739547564527</x:v>
      </x:c>
      <x:c r="O34" s="249">
        <x:f t="shared" si="5"/>
        <x:v>95.39473954756518</x:v>
      </x:c>
      <x:c r="P34" s="249">
        <x:f t="shared" si="6"/>
        <x:v>4477.6593093759457</x:v>
      </x:c>
      <x:c r="Q34" s="249">
        <x:f t="shared" si="7"/>
        <x:v>-2993.2238439094131</x:v>
      </x:c>
      <x:c r="R34" s="249">
        <x:f t="shared" si="8"/>
        <x:v>-2993.2238439094131</x:v>
      </x:c>
      <x:c r="S34" s="249">
        <x:f t="shared" si="9"/>
        <x:v>4477.6593093759457</x:v>
      </x:c>
      <x:c r="T34" s="23"/>
      <x:c r="U34" s="23"/>
      <x:c r="V34" s="260">
        <x:f t="shared" si="22"/>
        <x:v>4173.3237758506957</x:v>
      </x:c>
      <x:c r="W34" s="260">
        <x:f t="shared" si="23"/>
        <x:v>2728.8722592530294</x:v>
      </x:c>
      <x:c r="X34" s="260">
        <x:f t="shared" si="24"/>
        <x:v>-2801.8842319723008</x:v>
      </x:c>
      <x:c r="Y34" s="260">
        <x:f t="shared" si="25"/>
        <x:v>-4100.3118031314234</x:v>
      </x:c>
      <x:c r="Z34" s="260">
        <x:f t="shared" si="26"/>
        <x:v>1625.3927860962442</x:v>
      </x:c>
      <x:c r="AA34" s="260">
        <x:f t="shared" si="27"/>
        <x:v>-1233.5904218015221</x:v>
      </x:c>
      <x:c r="AB34" s="260">
        <x:f t="shared" si="28"/>
        <x:v>-1057.3239270470422</x:v>
      </x:c>
      <x:c r="AC34" s="260">
        <x:f t="shared" si="29"/>
        <x:v>1801.6592808507251</x:v>
      </x:c>
      <x:c r="AD34" s="260"/>
      <x:c r="AE34" s="282" t="n">
        <x:f t="shared" ref="AE34:AE212" si="39">V34+W34+X34+Y34</x:f>
        <x:v>9.094947017729282e-13</x:v>
      </x:c>
      <x:c r="AF34" s="282">
        <x:f t="shared" si="10"/>
        <x:v>1136.137718098405</x:v>
      </x:c>
      <x:c r="AJ34" s="272">
        <x:f t="shared" si="11"/>
        <x:v>-325.07855721924886</x:v>
      </x:c>
      <x:c r="AK34" s="272">
        <x:f t="shared" si="12"/>
        <x:v>123.35904218015222</x:v>
      </x:c>
      <x:c r="AL34" s="272">
        <x:f t="shared" si="13"/>
        <x:v>-105.73239270470422</x:v>
      </x:c>
      <x:c r="AM34" s="272">
        <x:f t="shared" si="14"/>
        <x:v>360.33185617014504</x:v>
      </x:c>
      <x:c r="AN34" s="272">
        <x:f t="shared" si="30"/>
        <x:v>834.66475517013919</x:v>
      </x:c>
      <x:c r="AO34" s="272">
        <x:f t="shared" si="31"/>
        <x:v>272.88722592530297</x:v>
      </x:c>
      <x:c r="AP34" s="272">
        <x:f t="shared" si="15"/>
        <x:v>280.18842319723007</x:v>
      </x:c>
      <x:c r="AQ34" s="272">
        <x:f t="shared" si="16"/>
        <x:v>820.06236062628477</x:v>
      </x:c>
      <x:c r="AR34" s="272"/>
      <x:c r="AS34" s="286">
        <x:f t="shared" si="32"/>
        <x:v>52.879948426344185</x:v>
      </x:c>
      <x:c r="AT34" s="286">
        <x:f t="shared" si="33"/>
        <x:v>2207.8027649189571</x:v>
      </x:c>
      <x:c r="AY34" s="279">
        <x:f t="shared" si="34"/>
        <x:v>-52.973741010362225</x:v>
      </x:c>
      <x:c r="AZ34" s="279">
        <x:f t="shared" si="35"/>
        <x:v>52.973741010362225</x:v>
      </x:c>
      <x:c r="BA34" s="279">
        <x:f t="shared" si="17"/>
        <x:v>-550.15333521301022</x:v>
      </x:c>
      <x:c r="BB34" s="279">
        <x:f t="shared" si="18"/>
        <x:v>-550.15333521301022</x:v>
      </x:c>
      <x:c r="BC34" s="279"/>
      <x:c r="BD34" s="289">
        <x:f t="shared" si="36"/>
        <x:v>0</x:v>
      </x:c>
      <x:c r="BE34" s="289">
        <x:f t="shared" si="37"/>
        <x:v>-1100.3066704260204</x:v>
      </x:c>
    </x:row>
    <x:row r="35" ht="15.75" customHeight="1">
      <x:c r="A35" s="21">
        <x:v>6</x:v>
      </x:c>
      <x:c r="B35" s="21">
        <x:f t="shared" si="19"/>
        <x:v>186</x:v>
      </x:c>
      <x:c r="C35" s="21">
        <x:f t="shared" si="0"/>
        <x:v>186</x:v>
      </x:c>
      <x:c r="D35" s="21">
        <x:f t="shared" si="20"/>
        <x:v>6</x:v>
      </x:c>
      <x:c r="E35" s="22" t="n">
        <x:f t="shared" ref="E35:H35" si="40">A35*PI()/180</x:f>
        <x:v>0.10471975511965977</x:v>
      </x:c>
      <x:c r="F35" s="22">
        <x:f t="shared" si="40"/>
        <x:v>3.2463124087094526</x:v>
      </x:c>
      <x:c r="G35" s="22">
        <x:f t="shared" si="40"/>
        <x:v>3.2463124087094526</x:v>
      </x:c>
      <x:c r="H35" s="22">
        <x:f t="shared" si="40"/>
        <x:v>0.10471975511965977</x:v>
      </x:c>
      <x:c r="I35" s="23"/>
      <x:c r="J35" s="23"/>
      <x:c r="K35" s="23"/>
      <x:c r="L35" s="249">
        <x:f t="shared" si="2"/>
        <x:v>142.94681186582778</x:v>
      </x:c>
      <x:c r="M35" s="249">
        <x:f t="shared" si="3"/>
        <x:v>-142.94681186582724</x:v>
      </x:c>
      <x:c r="N35" s="249">
        <x:f t="shared" si="4"/>
        <x:v>-142.94681186582724</x:v>
      </x:c>
      <x:c r="O35" s="249">
        <x:f t="shared" si="5"/>
        <x:v>142.94681186582778</x:v>
      </x:c>
      <x:c r="P35" s="249">
        <x:f t="shared" si="6"/>
        <x:v>4457.1833329048332</x:v>
      </x:c>
      <x:c r="Q35" s="249">
        <x:f t="shared" si="7"/>
        <x:v>-2990.9167382084565</x:v>
      </x:c>
      <x:c r="R35" s="249">
        <x:f t="shared" si="8"/>
        <x:v>-2990.9167382084565</x:v>
      </x:c>
      <x:c r="S35" s="249">
        <x:f t="shared" si="9"/>
        <x:v>4457.1833329048332</x:v>
      </x:c>
      <x:c r="T35" s="23"/>
      <x:c r="U35" s="23"/>
      <x:c r="V35" s="260">
        <x:f t="shared" si="22"/>
        <x:v>4172.6038305316779</x:v>
      </x:c>
      <x:c r="W35" s="260">
        <x:f t="shared" si="23"/>
        <x:v>2708.5433812657502</x:v>
      </x:c>
      <x:c r="X35" s="260">
        <x:f t="shared" si="24"/>
        <x:v>-2817.9501344866731</x:v>
      </x:c>
      <x:c r="Y35" s="260">
        <x:f t="shared" si="25"/>
        <x:v>-4063.1970773107546</x:v>
      </x:c>
      <x:c r="Z35" s="260">
        <x:f t="shared" si="26"/>
        <x:v>1573.6245827959126</x:v>
      </x:c>
      <x:c r="AA35" s="260">
        <x:f t="shared" si="27"/>
        <x:v>-1276.6399170163904</x:v>
      </x:c>
      <x:c r="AB35" s="260">
        <x:f t="shared" si="28"/>
        <x:v>-1012.5086495752316</x:v>
      </x:c>
      <x:c r="AC35" s="260">
        <x:f t="shared" si="29"/>
        <x:v>1837.7558502370723</x:v>
      </x:c>
      <x:c r="AD35" s="260"/>
      <x:c r="AE35" s="282">
        <x:f t="shared" si="39"/>
        <x:v>0</x:v>
      </x:c>
      <x:c r="AF35" s="282">
        <x:f t="shared" si="10"/>
        <x:v>1122.2318664413629</x:v>
      </x:c>
      <x:c r="AJ35" s="272">
        <x:f t="shared" si="11"/>
        <x:v>-314.72491655918253</x:v>
      </x:c>
      <x:c r="AK35" s="272">
        <x:f t="shared" si="12"/>
        <x:v>127.66399170163905</x:v>
      </x:c>
      <x:c r="AL35" s="272">
        <x:f t="shared" si="13"/>
        <x:v>-101.25086495752316</x:v>
      </x:c>
      <x:c r="AM35" s="272">
        <x:f t="shared" si="14"/>
        <x:v>367.55117004741447</x:v>
      </x:c>
      <x:c r="AN35" s="272">
        <x:f t="shared" si="30"/>
        <x:v>834.5207661063356</x:v>
      </x:c>
      <x:c r="AO35" s="272">
        <x:f t="shared" si="31"/>
        <x:v>270.85433812657504</x:v>
      </x:c>
      <x:c r="AP35" s="272">
        <x:f t="shared" si="15"/>
        <x:v>281.79501344866731</x:v>
      </x:c>
      <x:c r="AQ35" s="272">
        <x:f t="shared" si="16"/>
        <x:v>812.63941546215096</x:v>
      </x:c>
      <x:c r="AR35" s="272"/>
      <x:c r="AS35" s="286">
        <x:f t="shared" si="32"/>
        <x:v>79.239380232347855</x:v>
      </x:c>
      <x:c r="AT35" s="286">
        <x:f t="shared" si="33"/>
        <x:v>2199.8095331437289</x:v>
      </x:c>
      <x:c r="AY35" s="279">
        <x:f t="shared" si="34"/>
        <x:v>-91.22145632274102</x:v>
      </x:c>
      <x:c r="AZ35" s="279">
        <x:f t="shared" si="35"/>
        <x:v>91.22145632274102</x:v>
      </x:c>
      <x:c r="BA35" s="279">
        <x:f t="shared" si="17"/>
        <x:v>-545.11792796512384</x:v>
      </x:c>
      <x:c r="BB35" s="279">
        <x:f t="shared" si="18"/>
        <x:v>-545.11792796512384</x:v>
      </x:c>
      <x:c r="BC35" s="279"/>
      <x:c r="BD35" s="289">
        <x:f t="shared" si="36"/>
        <x:v>0</x:v>
      </x:c>
      <x:c r="BE35" s="289">
        <x:f t="shared" si="37"/>
        <x:v>-1090.2358559302477</x:v>
      </x:c>
    </x:row>
    <x:row r="36" ht="15.75" customHeight="1">
      <x:c r="A36" s="21">
        <x:v>8</x:v>
      </x:c>
      <x:c r="B36" s="21">
        <x:f t="shared" si="19"/>
        <x:v>188</x:v>
      </x:c>
      <x:c r="C36" s="21">
        <x:f t="shared" si="0"/>
        <x:v>188</x:v>
      </x:c>
      <x:c r="D36" s="21">
        <x:f t="shared" si="20"/>
        <x:v>8</x:v>
      </x:c>
      <x:c r="E36" s="22" t="n">
        <x:f t="shared" ref="E36:H36" si="41">A36*PI()/180</x:f>
        <x:v>0.13962634015954636</x:v>
      </x:c>
      <x:c r="F36" s="22">
        <x:f t="shared" si="41"/>
        <x:v>3.2812189937493397</x:v>
      </x:c>
      <x:c r="G36" s="22">
        <x:f t="shared" si="41"/>
        <x:v>3.2812189937493397</x:v>
      </x:c>
      <x:c r="H36" s="22">
        <x:f t="shared" si="41"/>
        <x:v>0.13962634015954636</x:v>
      </x:c>
      <x:c r="I36" s="23"/>
      <x:c r="J36" s="23"/>
      <x:c r="K36" s="23"/>
      <x:c r="L36" s="249">
        <x:f t="shared" si="2"/>
        <x:v>190.32472551310028</x:v>
      </x:c>
      <x:c r="M36" s="249">
        <x:f t="shared" si="3"/>
        <x:v>-190.32472551310039</x:v>
      </x:c>
      <x:c r="N36" s="249">
        <x:f t="shared" si="4"/>
        <x:v>-190.32472551310039</x:v>
      </x:c>
      <x:c r="O36" s="249">
        <x:f t="shared" si="5"/>
        <x:v>190.32472551310028</x:v>
      </x:c>
      <x:c r="P36" s="249">
        <x:f t="shared" si="6"/>
        <x:v>4428.5984233809468</x:v>
      </x:c>
      <x:c r="Q36" s="249">
        <x:f t="shared" si="7"/>
        <x:v>-2987.644202915485</x:v>
      </x:c>
      <x:c r="R36" s="249">
        <x:f t="shared" si="8"/>
        <x:v>-2987.644202915485</x:v>
      </x:c>
      <x:c r="S36" s="249">
        <x:f t="shared" si="9"/>
        <x:v>4428.5984233809468</x:v>
      </x:c>
      <x:c r="T36" s="23"/>
      <x:c r="U36" s="23"/>
      <x:c r="V36" s="260">
        <x:f t="shared" si="22"/>
        <x:v>4164.3255602967074</x:v>
      </x:c>
      <x:c r="W36" s="260">
        <x:f t="shared" si="23"/>
        <x:v>2687.389210276317</x:v>
      </x:c>
      <x:c r="X36" s="260">
        <x:f t="shared" si="24"/>
        <x:v>-2833.057448722911</x:v>
      </x:c>
      <x:c r="Y36" s="260">
        <x:f t="shared" si="25"/>
        <x:v>-4018.6573218501135</x:v>
      </x:c>
      <x:c r="Z36" s="260">
        <x:f t="shared" si="26"/>
        <x:v>1518.9141267936639</x:v>
      </x:c>
      <x:c r="AA36" s="260">
        <x:f t="shared" si="27"/>
        <x:v>-1319.1590566897428</x:v>
      </x:c>
      <x:c r="AB36" s="260">
        <x:f t="shared" si="28"/>
        <x:v>-967.48481982497856</x:v>
      </x:c>
      <x:c r="AC36" s="260">
        <x:f t="shared" si="29"/>
        <x:v>1870.5883636584281</x:v>
      </x:c>
      <x:c r="AD36" s="260"/>
      <x:c r="AE36" s="282">
        <x:f t="shared" si="39"/>
        <x:v>0</x:v>
      </x:c>
      <x:c r="AF36" s="282">
        <x:f t="shared" si="10"/>
        <x:v>1102.8586139373706</x:v>
      </x:c>
      <x:c r="AJ36" s="272">
        <x:f t="shared" si="11"/>
        <x:v>-303.78282535873279</x:v>
      </x:c>
      <x:c r="AK36" s="272">
        <x:f t="shared" si="12"/>
        <x:v>131.91590566897429</x:v>
      </x:c>
      <x:c r="AL36" s="272">
        <x:f t="shared" si="13"/>
        <x:v>-96.748481982497864</x:v>
      </x:c>
      <x:c r="AM36" s="272">
        <x:f t="shared" si="14"/>
        <x:v>374.11767273168562</x:v>
      </x:c>
      <x:c r="AN36" s="272">
        <x:f t="shared" si="30"/>
        <x:v>832.86511205934153</x:v>
      </x:c>
      <x:c r="AO36" s="272">
        <x:f t="shared" si="31"/>
        <x:v>268.7389210276317</x:v>
      </x:c>
      <x:c r="AP36" s="272">
        <x:f t="shared" si="15"/>
        <x:v>283.30574487229109</x:v>
      </x:c>
      <x:c r="AQ36" s="272">
        <x:f t="shared" si="16"/>
        <x:v>803.73146437002276</x:v>
      </x:c>
      <x:c r="AR36" s="272"/>
      <x:c r="AS36" s="286" t="n">
        <x:f>AJ36+AK36+AL36+AM36</x:f>
        <x:v>105.50227105942923</x:v>
      </x:c>
      <x:c r="AT36" s="286">
        <x:f t="shared" si="33"/>
        <x:v>2188.6412423292873</x:v>
      </x:c>
      <x:c r="AY36" s="279">
        <x:f t="shared" si="34"/>
        <x:v>-129.02474986946439</x:v>
      </x:c>
      <x:c r="AZ36" s="279">
        <x:f t="shared" si="35"/>
        <x:v>129.02474986946439</x:v>
      </x:c>
      <x:c r="BA36" s="279">
        <x:f t="shared" si="17"/>
        <x:v>-537.42676096725393</x:v>
      </x:c>
      <x:c r="BB36" s="279">
        <x:f t="shared" si="18"/>
        <x:v>-537.42676096725393</x:v>
      </x:c>
      <x:c r="BC36" s="279"/>
      <x:c r="BD36" s="289">
        <x:f t="shared" si="36"/>
        <x:v>0</x:v>
      </x:c>
      <x:c r="BE36" s="289">
        <x:f t="shared" si="37"/>
        <x:v>-1074.8535219345079</x:v>
      </x:c>
    </x:row>
    <x:row r="37" ht="15.75" customHeight="1">
      <x:c r="A37" s="21">
        <x:v>10</x:v>
      </x:c>
      <x:c r="B37" s="21">
        <x:f t="shared" si="19"/>
        <x:v>190</x:v>
      </x:c>
      <x:c r="C37" s="21">
        <x:f t="shared" si="0"/>
        <x:v>190</x:v>
      </x:c>
      <x:c r="D37" s="21">
        <x:f t="shared" si="20"/>
        <x:v>10</x:v>
      </x:c>
      <x:c r="E37" s="22" t="n">
        <x:f t="shared" ref="E37:H37" si="42">A37*PI()/180</x:f>
        <x:v>0.17453292519943295</x:v>
      </x:c>
      <x:c r="F37" s="22">
        <x:f t="shared" si="42"/>
        <x:v>3.3161255787892263</x:v>
      </x:c>
      <x:c r="G37" s="22">
        <x:f t="shared" si="42"/>
        <x:v>3.3161255787892263</x:v>
      </x:c>
      <x:c r="H37" s="22">
        <x:f t="shared" si="42"/>
        <x:v>0.17453292519943295</x:v>
      </x:c>
      <x:c r="I37" s="23"/>
      <x:c r="J37" s="23"/>
      <x:c r="K37" s="23"/>
      <x:c r="L37" s="249">
        <x:f t="shared" si="2"/>
        <x:v>237.47075779961156</x:v>
      </x:c>
      <x:c r="M37" s="249">
        <x:f t="shared" si="3"/>
        <x:v>-237.47075779961176</x:v>
      </x:c>
      <x:c r="N37" s="249">
        <x:f t="shared" si="4"/>
        <x:v>-237.47075779961176</x:v>
      </x:c>
      <x:c r="O37" s="249">
        <x:f t="shared" si="5"/>
        <x:v>237.47075779961156</x:v>
      </x:c>
      <x:c r="P37" s="249">
        <x:f t="shared" si="6"/>
        <x:v>4391.9856471703424</x:v>
      </x:c>
      <x:c r="Q37" s="249">
        <x:f t="shared" si="7"/>
        <x:v>-2983.3639850536924</x:v>
      </x:c>
      <x:c r="R37" s="249">
        <x:f t="shared" si="8"/>
        <x:v>-2983.3639850536924</x:v>
      </x:c>
      <x:c r="S37" s="249">
        <x:f t="shared" si="9"/>
        <x:v>4391.9856471703424</x:v>
      </x:c>
      <x:c r="T37" s="23"/>
      <x:c r="U37" s="23"/>
      <x:c r="V37" s="260">
        <x:f t="shared" si="22"/>
        <x:v>4148.5417711851114</x:v>
      </x:c>
      <x:c r="W37" s="260">
        <x:f t="shared" si="23"/>
        <x:v>2665.3927991413202</x:v>
      </x:c>
      <x:c r="X37" s="260">
        <x:f t="shared" si="24"/>
        <x:v>-2847.1450485035093</x:v>
      </x:c>
      <x:c r="Y37" s="260">
        <x:f t="shared" si="25"/>
        <x:v>-3966.7895218229228</x:v>
      </x:c>
      <x:c r="Z37" s="260">
        <x:f t="shared" si="26"/>
        <x:v>1461.3457696563507</x:v>
      </x:c>
      <x:c r="AA37" s="260">
        <x:f t="shared" si="27"/>
        <x:v>-1361.0783424957458</x:v>
      </x:c>
      <x:c r="AB37" s="260">
        <x:f t="shared" si="28"/>
        <x:v>-922.28959709373328</x:v>
      </x:c>
      <x:c r="AC37" s="260">
        <x:f t="shared" si="29"/>
        <x:v>1900.1345150583631</x:v>
      </x:c>
      <x:c r="AD37" s="260"/>
      <x:c r="AE37" s="282">
        <x:f t="shared" si="39"/>
        <x:v>0</x:v>
      </x:c>
      <x:c r="AF37" s="282">
        <x:f t="shared" si="10"/>
        <x:v>1078.1123451252347</x:v>
      </x:c>
      <x:c r="AJ37" s="272">
        <x:f t="shared" si="11"/>
        <x:v>-292.26915393127018</x:v>
      </x:c>
      <x:c r="AK37" s="272">
        <x:f t="shared" si="12"/>
        <x:v>136.10783424957458</x:v>
      </x:c>
      <x:c r="AL37" s="272">
        <x:f t="shared" si="13"/>
        <x:v>-92.228959709373328</x:v>
      </x:c>
      <x:c r="AM37" s="272">
        <x:f t="shared" si="14"/>
        <x:v>380.02690301167263</x:v>
      </x:c>
      <x:c r="AN37" s="272">
        <x:f t="shared" si="30"/>
        <x:v>829.70835423702238</x:v>
      </x:c>
      <x:c r="AO37" s="272">
        <x:f t="shared" si="31"/>
        <x:v>266.53927991413201</x:v>
      </x:c>
      <x:c r="AP37" s="272">
        <x:f t="shared" si="15"/>
        <x:v>284.71450485035092</x:v>
      </x:c>
      <x:c r="AQ37" s="272">
        <x:f t="shared" si="16"/>
        <x:v>793.35790436458456</x:v>
      </x:c>
      <x:c r="AR37" s="272"/>
      <x:c r="AS37" s="286">
        <x:f t="shared" si="32"/>
        <x:v>131.6366236206037</x:v>
      </x:c>
      <x:c r="AT37" s="286">
        <x:f t="shared" si="33"/>
        <x:v>2174.32004336609</x:v>
      </x:c>
      <x:c r="AY37" s="279">
        <x:f t="shared" si="34"/>
        <x:v>-166.19944780434619</x:v>
      </x:c>
      <x:c r="AZ37" s="279">
        <x:f t="shared" si="35"/>
        <x:v>166.19944780434619</x:v>
      </x:c>
      <x:c r="BA37" s="279">
        <x:f t="shared" si="17"/>
        <x:v>-527.11730481190057</x:v>
      </x:c>
      <x:c r="BB37" s="279">
        <x:f t="shared" si="18"/>
        <x:v>-527.11730481190057</x:v>
      </x:c>
      <x:c r="BC37" s="279"/>
      <x:c r="BD37" s="289">
        <x:f t="shared" si="36"/>
        <x:v>0</x:v>
      </x:c>
      <x:c r="BE37" s="289">
        <x:f t="shared" si="37"/>
        <x:v>-1054.2346096238011</x:v>
      </x:c>
    </x:row>
    <x:row r="38" ht="15.75" customHeight="1">
      <x:c r="A38" s="21">
        <x:v>12</x:v>
      </x:c>
      <x:c r="B38" s="21">
        <x:f t="shared" si="19"/>
        <x:v>192</x:v>
      </x:c>
      <x:c r="C38" s="21">
        <x:f t="shared" si="0"/>
        <x:v>192</x:v>
      </x:c>
      <x:c r="D38" s="21">
        <x:f t="shared" si="20"/>
        <x:v>12</x:v>
      </x:c>
      <x:c r="E38" s="22" t="n">
        <x:f t="shared" ref="E38:H38" si="43">A38*PI()/180</x:f>
        <x:v>0.20943951023931953</x:v>
      </x:c>
      <x:c r="F38" s="22">
        <x:f t="shared" si="43"/>
        <x:v>3.3510321638291125</x:v>
      </x:c>
      <x:c r="G38" s="22">
        <x:f t="shared" si="43"/>
        <x:v>3.3510321638291125</x:v>
      </x:c>
      <x:c r="H38" s="22">
        <x:f t="shared" si="43"/>
        <x:v>0.20943951023931953</x:v>
      </x:c>
      <x:c r="I38" s="23"/>
      <x:c r="J38" s="23"/>
      <x:c r="K38" s="23"/>
      <x:c r="L38" s="249">
        <x:f t="shared" si="2"/>
        <x:v>284.32746854731005</x:v>
      </x:c>
      <x:c r="M38" s="249">
        <x:f t="shared" si="3"/>
        <x:v>-284.32746854730971</x:v>
      </x:c>
      <x:c r="N38" s="249">
        <x:f t="shared" si="4"/>
        <x:v>-284.32746854730971</x:v>
      </x:c>
      <x:c r="O38" s="249">
        <x:f t="shared" si="5"/>
        <x:v>284.32746854731005</x:v>
      </x:c>
      <x:c r="P38" s="249">
        <x:f t="shared" si="6"/>
        <x:v>4347.4486756672268</x:v>
      </x:c>
      <x:c r="Q38" s="249">
        <x:f t="shared" si="7"/>
        <x:v>-2978.0222350430654</x:v>
      </x:c>
      <x:c r="R38" s="249">
        <x:f t="shared" si="8"/>
        <x:v>-2978.0222350430654</x:v>
      </x:c>
      <x:c r="S38" s="249">
        <x:f t="shared" si="9"/>
        <x:v>4347.4486756672268</x:v>
      </x:c>
      <x:c r="T38" s="23"/>
      <x:c r="U38" s="23"/>
      <x:c r="V38" s="260">
        <x:f t="shared" si="22"/>
        <x:v>4125.326261671612</x:v>
      </x:c>
      <x:c r="W38" s="260">
        <x:f t="shared" si="23"/>
        <x:v>2642.5263787404429</x:v>
      </x:c>
      <x:c r="X38" s="260">
        <x:f t="shared" si="24"/>
        <x:v>-2860.1412018991659</x:v>
      </x:c>
      <x:c r="Y38" s="260">
        <x:f t="shared" si="25"/>
        <x:v>-3907.7114385128884</x:v>
      </x:c>
      <x:c r="Z38" s="260">
        <x:f t="shared" si="26"/>
        <x:v>1401.0122525137922</x:v>
      </x:c>
      <x:c r="AA38" s="260">
        <x:f t="shared" si="27"/>
        <x:v>-1402.3240992874428</x:v>
      </x:c>
      <x:c r="AB38" s="260">
        <x:f t="shared" si="28"/>
        <x:v>-876.95544184423056</x:v>
      </x:c>
      <x:c r="AC38" s="260">
        <x:f t="shared" si="29"/>
        <x:v>1926.3809099570049</x:v>
      </x:c>
      <x:c r="AD38" s="260"/>
      <x:c r="AE38" s="282">
        <x:f t="shared" si="39"/>
        <x:v>0</x:v>
      </x:c>
      <x:c r="AF38" s="282">
        <x:f t="shared" si="10"/>
        <x:v>1048.1136213391237</x:v>
      </x:c>
      <x:c r="AJ38" s="272">
        <x:f t="shared" si="11"/>
        <x:v>-280.20245050275844</x:v>
      </x:c>
      <x:c r="AK38" s="272">
        <x:f t="shared" si="12"/>
        <x:v>140.23240992874429</x:v>
      </x:c>
      <x:c r="AL38" s="272">
        <x:f t="shared" si="13"/>
        <x:v>-87.695544184423056</x:v>
      </x:c>
      <x:c r="AM38" s="272">
        <x:f t="shared" si="14"/>
        <x:v>385.27618199140102</x:v>
      </x:c>
      <x:c r="AN38" s="272">
        <x:f t="shared" si="30"/>
        <x:v>825.06525233432239</x:v>
      </x:c>
      <x:c r="AO38" s="272">
        <x:f t="shared" si="31"/>
        <x:v>264.2526378740443</x:v>
      </x:c>
      <x:c r="AP38" s="272">
        <x:f t="shared" si="15"/>
        <x:v>286.01412018991658</x:v>
      </x:c>
      <x:c r="AQ38" s="272">
        <x:f t="shared" si="16"/>
        <x:v>781.54228770257771</x:v>
      </x:c>
      <x:c r="AR38" s="272"/>
      <x:c r="AS38" s="286">
        <x:f t="shared" si="32"/>
        <x:v>157.61059723296381</x:v>
      </x:c>
      <x:c r="AT38" s="286">
        <x:f t="shared" si="33"/>
        <x:v>2156.8742981008609</x:v>
      </x:c>
      <x:c r="AY38" s="279">
        <x:f t="shared" si="34"/>
        <x:v>-202.56443873583535</x:v>
      </x:c>
      <x:c r="AZ38" s="279">
        <x:f t="shared" si="35"/>
        <x:v>202.56443873583535</x:v>
      </x:c>
      <x:c r="BA38" s="279">
        <x:f t="shared" si="17"/>
        <x:v>-514.23978613314978</x:v>
      </x:c>
      <x:c r="BB38" s="279">
        <x:f t="shared" si="18"/>
        <x:v>-514.23978613314978</x:v>
      </x:c>
      <x:c r="BC38" s="279"/>
      <x:c r="BD38" s="289">
        <x:f t="shared" si="36"/>
        <x:v>0</x:v>
      </x:c>
      <x:c r="BE38" s="289">
        <x:f t="shared" si="37"/>
        <x:v>-1028.4795722662996</x:v>
      </x:c>
    </x:row>
    <x:row r="39" ht="15.75" customHeight="1">
      <x:c r="A39" s="21">
        <x:v>14</x:v>
      </x:c>
      <x:c r="B39" s="21">
        <x:f t="shared" si="19"/>
        <x:v>194</x:v>
      </x:c>
      <x:c r="C39" s="21">
        <x:f t="shared" si="0"/>
        <x:v>194</x:v>
      </x:c>
      <x:c r="D39" s="21">
        <x:f t="shared" si="20"/>
        <x:v>14</x:v>
      </x:c>
      <x:c r="E39" s="22" t="n">
        <x:f t="shared" ref="E39:H39" si="44">A39*PI()/180</x:f>
        <x:v>0.24434609527920614</x:v>
      </x:c>
      <x:c r="F39" s="22">
        <x:f t="shared" si="44"/>
        <x:v>3.3859387488689991</x:v>
      </x:c>
      <x:c r="G39" s="22">
        <x:f t="shared" si="44"/>
        <x:v>3.3859387488689991</x:v>
      </x:c>
      <x:c r="H39" s="22">
        <x:f t="shared" si="44"/>
        <x:v>0.24434609527920614</x:v>
      </x:c>
      <x:c r="I39" s="23"/>
      <x:c r="J39" s="23"/>
      <x:c r="K39" s="23"/>
      <x:c r="L39" s="249">
        <x:f t="shared" si="2"/>
        <x:v>330.8377700718728</x:v>
      </x:c>
      <x:c r="M39" s="249">
        <x:f t="shared" si="3"/>
        <x:v>-330.83777007187246</x:v>
      </x:c>
      <x:c r="N39" s="249">
        <x:f t="shared" si="4"/>
        <x:v>-330.83777007187246</x:v>
      </x:c>
      <x:c r="O39" s="249">
        <x:f t="shared" si="5"/>
        <x:v>330.8377700718728</x:v>
      </x:c>
      <x:c r="P39" s="249">
        <x:f t="shared" si="6"/>
        <x:v>4295.1133712306782</x:v>
      </x:c>
      <x:c r="Q39" s="249">
        <x:f t="shared" si="7"/>
        <x:v>-2971.5538600634613</x:v>
      </x:c>
      <x:c r="R39" s="249">
        <x:f t="shared" si="8"/>
        <x:v>-2971.5538600634613</x:v>
      </x:c>
      <x:c r="S39" s="249">
        <x:f t="shared" si="9"/>
        <x:v>4295.1133712306782</x:v>
      </x:c>
      <x:c r="T39" s="23"/>
      <x:c r="U39" s="23"/>
      <x:c r="V39" s="260">
        <x:f t="shared" si="22"/>
        <x:v>4094.7734669026927</x:v>
      </x:c>
      <x:c r="W39" s="260">
        <x:f t="shared" si="23"/>
        <x:v>2618.7516576604239</x:v>
      </x:c>
      <x:c r="X39" s="260">
        <x:f t="shared" si="24"/>
        <x:v>-2871.9639244746568</x:v>
      </x:c>
      <x:c r="Y39" s="260">
        <x:f t="shared" si="25"/>
        <x:v>-3841.5612000884589</x:v>
      </x:c>
      <x:c r="Z39" s="260">
        <x:f t="shared" si="26"/>
        <x:v>1338.0144829486699</x:v>
      </x:c>
      <x:c r="AA39" s="260">
        <x:f t="shared" si="27"/>
        <x:v>-1442.8186749778952</x:v>
      </x:c>
      <x:c r="AB39" s="260">
        <x:f t="shared" si="28"/>
        <x:v>-831.5101862757391</x:v>
      </x:c>
      <x:c r="AC39" s="260">
        <x:f t="shared" si="29"/>
        <x:v>1949.3229716508267</x:v>
      </x:c>
      <x:c r="AD39" s="260"/>
      <x:c r="AE39" s="282">
        <x:f t="shared" si="39"/>
        <x:v>0</x:v>
      </x:c>
      <x:c r="AF39" s="282">
        <x:f t="shared" si="10"/>
        <x:v>1013.0085933458623</x:v>
      </x:c>
      <x:c r="AJ39" s="272">
        <x:f t="shared" si="11"/>
        <x:v>-267.60289658973397</x:v>
      </x:c>
      <x:c r="AK39" s="272">
        <x:f t="shared" si="12"/>
        <x:v>144.28186749778953</x:v>
      </x:c>
      <x:c r="AL39" s="272">
        <x:f t="shared" si="13"/>
        <x:v>-83.151018627573919</x:v>
      </x:c>
      <x:c r="AM39" s="272">
        <x:f t="shared" si="14"/>
        <x:v>389.86459433016535</x:v>
      </x:c>
      <x:c r="AN39" s="272">
        <x:f t="shared" si="30"/>
        <x:v>818.95469338053863</x:v>
      </x:c>
      <x:c r="AO39" s="272">
        <x:f t="shared" si="31"/>
        <x:v>261.87516576604241</x:v>
      </x:c>
      <x:c r="AP39" s="272">
        <x:f t="shared" si="15"/>
        <x:v>287.19639244746571</x:v>
      </x:c>
      <x:c r="AQ39" s="272">
        <x:f t="shared" si="16"/>
        <x:v>768.31224001769181</x:v>
      </x:c>
      <x:c r="AR39" s="272"/>
      <x:c r="AS39" s="286">
        <x:f t="shared" si="32"/>
        <x:v>183.392546610647</x:v>
      </x:c>
      <x:c r="AT39" s="286">
        <x:f t="shared" si="33"/>
        <x:v>2136.3384916117384</x:v>
      </x:c>
      <x:c r="AY39" s="279">
        <x:f t="shared" si="34"/>
        <x:v>-237.94255608350969</x:v>
      </x:c>
      <x:c r="AZ39" s="279">
        <x:f t="shared" si="35"/>
        <x:v>237.94255608350969</x:v>
      </x:c>
      <x:c r="BA39" s="279">
        <x:f t="shared" si="17"/>
        <x:v>-498.85694290756095</x:v>
      </x:c>
      <x:c r="BB39" s="279">
        <x:f t="shared" si="18"/>
        <x:v>-498.85694290756095</x:v>
      </x:c>
      <x:c r="BC39" s="279"/>
      <x:c r="BD39" s="289">
        <x:f t="shared" si="36"/>
        <x:v>0</x:v>
      </x:c>
      <x:c r="BE39" s="289">
        <x:f t="shared" si="37"/>
        <x:v>-997.7138858151219</x:v>
      </x:c>
    </x:row>
    <x:row r="40" ht="15.75" customHeight="1">
      <x:c r="A40" s="21">
        <x:v>16</x:v>
      </x:c>
      <x:c r="B40" s="21">
        <x:f t="shared" si="19"/>
        <x:v>196</x:v>
      </x:c>
      <x:c r="C40" s="21">
        <x:f t="shared" si="0"/>
        <x:v>196</x:v>
      </x:c>
      <x:c r="D40" s="21">
        <x:f t="shared" si="20"/>
        <x:v>16</x:v>
      </x:c>
      <x:c r="E40" s="22" t="n">
        <x:f t="shared" ref="E40:H40" si="45">A40*PI()/180</x:f>
        <x:v>0.2792526803190927</x:v>
      </x:c>
      <x:c r="F40" s="22">
        <x:f t="shared" si="45"/>
        <x:v>3.4208453339088858</x:v>
      </x:c>
      <x:c r="G40" s="22">
        <x:f t="shared" si="45"/>
        <x:v>3.4208453339088858</x:v>
      </x:c>
      <x:c r="H40" s="22">
        <x:f t="shared" si="45"/>
        <x:v>0.27925268031909273</x:v>
      </x:c>
      <x:c r="I40" s="23"/>
      <x:c r="J40" s="23"/>
      <x:c r="K40" s="23"/>
      <x:c r="L40" s="249">
        <x:f t="shared" si="2"/>
        <x:v>376.94499673525456</x:v>
      </x:c>
      <x:c r="M40" s="249">
        <x:f t="shared" si="3"/>
        <x:v>-376.94499673525434</x:v>
      </x:c>
      <x:c r="N40" s="249">
        <x:f t="shared" si="4"/>
        <x:v>-376.94499673525434</x:v>
      </x:c>
      <x:c r="O40" s="249">
        <x:f t="shared" si="5"/>
        <x:v>376.94499673525456</x:v>
      </x:c>
      <x:c r="P40" s="249">
        <x:f t="shared" si="6"/>
        <x:v>4235.1272850082669</x:v>
      </x:c>
      <x:c r="Q40" s="249">
        <x:f t="shared" si="7"/>
        <x:v>-2963.8829521926655</x:v>
      </x:c>
      <x:c r="R40" s="249">
        <x:f t="shared" si="8"/>
        <x:v>-2963.8829521926655</x:v>
      </x:c>
      <x:c r="S40" s="249">
        <x:f t="shared" si="9"/>
        <x:v>4235.1272850082669</x:v>
      </x:c>
      <x:c r="T40" s="23"/>
      <x:c r="U40" s="23"/>
      <x:c r="V40" s="260">
        <x:f t="shared" si="22"/>
        <x:v>4056.9980213627277</x:v>
      </x:c>
      <x:c r="W40" s="260">
        <x:f t="shared" si="23"/>
        <x:v>2594.0201911264376</x:v>
      </x:c>
      <x:c r="X40" s="260">
        <x:f t="shared" si="24"/>
        <x:v>-2882.5214014534267</x:v>
      </x:c>
      <x:c r="Y40" s="260">
        <x:f t="shared" si="25"/>
        <x:v>-3768.4968110357377</x:v>
      </x:c>
      <x:c r="Z40" s="260">
        <x:f t="shared" si="26"/>
        <x:v>1272.4612785637721</x:v>
      </x:c>
      <x:c r="AA40" s="260">
        <x:f t="shared" si="27"/>
        <x:v>-1482.4806686397001</x:v>
      </x:c>
      <x:c r="AB40" s="260">
        <x:f t="shared" si="28"/>
        <x:v>-785.97713390722947</x:v>
      </x:c>
      <x:c r="AC40" s="260">
        <x:f t="shared" si="29"/>
        <x:v>1968.9648132962432</x:v>
      </x:c>
      <x:c r="AD40" s="260"/>
      <x:c r="AE40" s="282">
        <x:f t="shared" si="39"/>
        <x:v>0</x:v>
      </x:c>
      <x:c r="AF40" s="282">
        <x:f t="shared" si="10"/>
        <x:v>972.96828931308573</x:v>
      </x:c>
      <x:c r="AJ40" s="272">
        <x:f t="shared" si="11"/>
        <x:v>-254.49225571275443</x:v>
      </x:c>
      <x:c r="AK40" s="272">
        <x:f t="shared" si="12"/>
        <x:v>148.24806686397002</x:v>
      </x:c>
      <x:c r="AL40" s="272">
        <x:f t="shared" si="13"/>
        <x:v>-78.597713390722959</x:v>
      </x:c>
      <x:c r="AM40" s="272">
        <x:f t="shared" si="14"/>
        <x:v>393.79296265924864</x:v>
      </x:c>
      <x:c r="AN40" s="272">
        <x:f t="shared" si="30"/>
        <x:v>811.39960427254562</x:v>
      </x:c>
      <x:c r="AO40" s="272">
        <x:f t="shared" si="31"/>
        <x:v>259.40201911264376</x:v>
      </x:c>
      <x:c r="AP40" s="272">
        <x:f t="shared" si="15"/>
        <x:v>288.25214014534271</x:v>
      </x:c>
      <x:c r="AQ40" s="272">
        <x:f t="shared" si="16"/>
        <x:v>753.6993622071476</x:v>
      </x:c>
      <x:c r="AR40" s="272"/>
      <x:c r="AS40" s="286">
        <x:f t="shared" si="32"/>
        <x:v>208.95106041974128</x:v>
      </x:c>
      <x:c r="AT40" s="286">
        <x:f t="shared" si="33"/>
        <x:v>2112.75312573768</x:v>
      </x:c>
      <x:c r="AY40" s="279">
        <x:f t="shared" si="34"/>
        <x:v>-272.16144121584699</x:v>
      </x:c>
      <x:c r="AZ40" s="279">
        <x:f t="shared" si="35"/>
        <x:v>272.16144121584699</x:v>
      </x:c>
      <x:c r="BA40" s="279">
        <x:f t="shared" si="17"/>
        <x:v>-481.04371880105117</x:v>
      </x:c>
      <x:c r="BB40" s="279">
        <x:f t="shared" si="18"/>
        <x:v>-481.04371880105117</x:v>
      </x:c>
      <x:c r="BC40" s="279"/>
      <x:c r="BD40" s="289">
        <x:f t="shared" si="36"/>
        <x:v>0</x:v>
      </x:c>
      <x:c r="BE40" s="289">
        <x:f t="shared" si="37"/>
        <x:v>-962.08743760210234</x:v>
      </x:c>
    </x:row>
    <x:row r="41" ht="15.75" customHeight="1">
      <x:c r="A41" s="21">
        <x:v>18</x:v>
      </x:c>
      <x:c r="B41" s="21">
        <x:f t="shared" si="19"/>
        <x:v>198</x:v>
      </x:c>
      <x:c r="C41" s="21">
        <x:f t="shared" si="0"/>
        <x:v>198</x:v>
      </x:c>
      <x:c r="D41" s="21">
        <x:f t="shared" si="20"/>
        <x:v>18</x:v>
      </x:c>
      <x:c r="E41" s="22" t="n">
        <x:f t="shared" ref="E41:H41" si="46">A41*PI()/180</x:f>
        <x:v>0.3141592653589793</x:v>
      </x:c>
      <x:c r="F41" s="22">
        <x:f t="shared" si="46"/>
        <x:v>3.4557519189487729</x:v>
      </x:c>
      <x:c r="G41" s="22">
        <x:f t="shared" si="46"/>
        <x:v>3.4557519189487729</x:v>
      </x:c>
      <x:c r="H41" s="22">
        <x:f t="shared" si="46"/>
        <x:v>0.31415926535897931</x:v>
      </x:c>
      <x:c r="I41" s="23"/>
      <x:c r="J41" s="23"/>
      <x:c r="K41" s="23"/>
      <x:c r="L41" s="249">
        <x:f t="shared" si="2"/>
        <x:v>422.5929739840401</x:v>
      </x:c>
      <x:c r="M41" s="249">
        <x:f t="shared" si="3"/>
        <x:v>-422.59297398404055</x:v>
      </x:c>
      <x:c r="N41" s="249">
        <x:f t="shared" si="4"/>
        <x:v>-422.59297398404055</x:v>
      </x:c>
      <x:c r="O41" s="249">
        <x:f t="shared" si="5"/>
        <x:v>422.5929739840401</x:v>
      </x:c>
      <x:c r="P41" s="249">
        <x:f t="shared" si="6"/>
        <x:v>4167.659068957877</x:v>
      </x:c>
      <x:c r="Q41" s="249">
        <x:f t="shared" si="7"/>
        <x:v>-2954.9232890983358</x:v>
      </x:c>
      <x:c r="R41" s="249">
        <x:f t="shared" si="8"/>
        <x:v>-2954.9232890983358</x:v>
      </x:c>
      <x:c r="S41" s="249">
        <x:f t="shared" si="9"/>
        <x:v>4167.659068957877</x:v>
      </x:c>
      <x:c r="T41" s="23"/>
      <x:c r="U41" s="23"/>
      <x:c r="V41" s="260">
        <x:f t="shared" si="22"/>
        <x:v>4012.1342420728115</x:v>
      </x:c>
      <x:c r="W41" s="260">
        <x:f t="shared" si="23"/>
        <x:v>2568.2738171613005</x:v>
      </x:c>
      <x:c r="X41" s="260">
        <x:f t="shared" si="24"/>
        <x:v>-2891.7124767164682</x:v>
      </x:c>
      <x:c r="Y41" s="260">
        <x:f t="shared" si="25"/>
        <x:v>-3688.6955825176447</x:v>
      </x:c>
      <x:c r="Z41" s="260">
        <x:f t="shared" si="26"/>
        <x:v>1204.4690781893657</x:v>
      </x:c>
      <x:c r="AA41" s="260">
        <x:f t="shared" si="27"/>
        <x:v>-1521.2251858946215</x:v>
      </x:c>
      <x:c r="AB41" s="260">
        <x:f t="shared" si="28"/>
        <x:v>-740.37518740076212</x:v>
      </x:c>
      <x:c r="AC41" s="260">
        <x:f t="shared" si="29"/>
        <x:v>1985.3190766832242</x:v>
      </x:c>
      <x:c r="AD41" s="260"/>
      <x:c r="AE41" s="282">
        <x:f t="shared" si="39"/>
        <x:v>0</x:v>
      </x:c>
      <x:c r="AF41" s="282">
        <x:f t="shared" si="10"/>
        <x:v>928.18778157720635</x:v>
      </x:c>
      <x:c r="AJ41" s="272">
        <x:f t="shared" si="11"/>
        <x:v>-240.89381563787316</x:v>
      </x:c>
      <x:c r="AK41" s="272">
        <x:f t="shared" si="12"/>
        <x:v>152.12251858946215</x:v>
      </x:c>
      <x:c r="AL41" s="272">
        <x:f t="shared" si="13"/>
        <x:v>-74.037518740076209</x:v>
      </x:c>
      <x:c r="AM41" s="272">
        <x:f t="shared" si="14"/>
        <x:v>397.06381533664489</x:v>
      </x:c>
      <x:c r="AN41" s="272">
        <x:f t="shared" si="30"/>
        <x:v>802.4268484145623</x:v>
      </x:c>
      <x:c r="AO41" s="272">
        <x:f t="shared" si="31"/>
        <x:v>256.82738171613005</x:v>
      </x:c>
      <x:c r="AP41" s="272">
        <x:f t="shared" si="15"/>
        <x:v>289.17124767164682</x:v>
      </x:c>
      <x:c r="AQ41" s="272">
        <x:f t="shared" si="16"/>
        <x:v>737.73911650352898</x:v>
      </x:c>
      <x:c r="AR41" s="272"/>
      <x:c r="AS41" s="286">
        <x:f t="shared" si="32"/>
        <x:v>234.25499954815768</x:v>
      </x:c>
      <x:c r="AT41" s="286">
        <x:f t="shared" si="33"/>
        <x:v>2086.1645943058684</x:v>
      </x:c>
      <x:c r="AY41" s="279">
        <x:f t="shared" si="34"/>
        <x:v>-305.05438316415342</x:v>
      </x:c>
      <x:c r="AZ41" s="279">
        <x:f t="shared" si="35"/>
        <x:v>305.05438316415342</x:v>
      </x:c>
      <x:c r="BA41" s="279">
        <x:f t="shared" si="17"/>
        <x:v>-460.88689805088796</x:v>
      </x:c>
      <x:c r="BB41" s="279">
        <x:f t="shared" si="18"/>
        <x:v>-460.88689805088796</x:v>
      </x:c>
      <x:c r="BC41" s="279"/>
      <x:c r="BD41" s="289">
        <x:f t="shared" si="36"/>
        <x:v>0</x:v>
      </x:c>
      <x:c r="BE41" s="289">
        <x:f t="shared" si="37"/>
        <x:v>-921.77379610177593</x:v>
      </x:c>
    </x:row>
    <x:row r="42" ht="15.75" customHeight="1">
      <x:c r="A42" s="21">
        <x:v>20</x:v>
      </x:c>
      <x:c r="B42" s="21">
        <x:f t="shared" si="19"/>
        <x:v>200</x:v>
      </x:c>
      <x:c r="C42" s="21">
        <x:f t="shared" si="0"/>
        <x:v>200</x:v>
      </x:c>
      <x:c r="D42" s="21">
        <x:f t="shared" si="20"/>
        <x:v>20</x:v>
      </x:c>
      <x:c r="E42" s="22" t="n">
        <x:f t="shared" ref="E42:H42" si="47">A42*PI()/180</x:f>
        <x:v>0.3490658503988659</x:v>
      </x:c>
      <x:c r="F42" s="22">
        <x:f t="shared" si="47"/>
        <x:v>3.4906585039886591</x:v>
      </x:c>
      <x:c r="G42" s="22">
        <x:f t="shared" si="47"/>
        <x:v>3.4906585039886591</x:v>
      </x:c>
      <x:c r="H42" s="22">
        <x:f t="shared" si="47"/>
        <x:v>0.3490658503988659</x:v>
      </x:c>
      <x:c r="I42" s="23"/>
      <x:c r="J42" s="23"/>
      <x:c r="K42" s="23"/>
      <x:c r="L42" s="249">
        <x:f t="shared" si="2"/>
        <x:v>467.72608678948353</x:v>
      </x:c>
      <x:c r="M42" s="249">
        <x:f t="shared" si="3"/>
        <x:v>-467.72608678948342</x:v>
      </x:c>
      <x:c r="N42" s="249">
        <x:f t="shared" si="4"/>
        <x:v>-467.72608678948342</x:v>
      </x:c>
      <x:c r="O42" s="249">
        <x:f t="shared" si="5"/>
        <x:v>467.72608678948353</x:v>
      </x:c>
      <x:c r="P42" s="249">
        <x:f t="shared" si="6"/>
        <x:v>4092.8978047728442</x:v>
      </x:c>
      <x:c r="Q42" s="249">
        <x:f t="shared" si="7"/>
        <x:v>-2944.5789046850632</x:v>
      </x:c>
      <x:c r="R42" s="249">
        <x:f t="shared" si="8"/>
        <x:v>-2944.5789046850632</x:v>
      </x:c>
      <x:c r="S42" s="249">
        <x:f t="shared" si="9"/>
        <x:v>4092.8978047728442</x:v>
      </x:c>
      <x:c r="T42" s="23"/>
      <x:c r="U42" s="23"/>
      <x:c r="V42" s="260">
        <x:f t="shared" si="22"/>
        <x:v>3960.3355347892984</x:v>
      </x:c>
      <x:c r="W42" s="260">
        <x:f t="shared" si="23"/>
        <x:v>2541.4451576037413</x:v>
      </x:c>
      <x:c r="X42" s="260">
        <x:f t="shared" si="24"/>
        <x:v>-2899.4272062023242</x:v>
      </x:c>
      <x:c r="Y42" s="260">
        <x:f t="shared" si="25"/>
        <x:v>-3602.3534861907156</x:v>
      </x:c>
      <x:c r="Z42" s="260">
        <x:f t="shared" si="26"/>
        <x:v>1134.1616218436118</x:v>
      </x:c>
      <x:c r="AA42" s="260">
        <x:f t="shared" si="27"/>
        <x:v>-1558.9641205211183</x:v>
      </x:c>
      <x:c r="AB42" s="260">
        <x:f t="shared" si="28"/>
        <x:v>-694.7190037083152</x:v>
      </x:c>
      <x:c r="AC42" s="260">
        <x:f t="shared" si="29"/>
        <x:v>1998.406738656415</x:v>
      </x:c>
      <x:c r="AD42" s="260"/>
      <x:c r="AE42" s="282">
        <x:f t="shared" si="39"/>
        <x:v>0</x:v>
      </x:c>
      <x:c r="AF42" s="282">
        <x:f t="shared" si="10"/>
        <x:v>878.88523627059317</x:v>
      </x:c>
      <x:c r="AJ42" s="272">
        <x:f t="shared" si="11"/>
        <x:v>-226.83232436872237</x:v>
      </x:c>
      <x:c r="AK42" s="272">
        <x:f t="shared" si="12"/>
        <x:v>155.89641205211183</x:v>
      </x:c>
      <x:c r="AL42" s="272">
        <x:f t="shared" si="13"/>
        <x:v>-69.47190037083152</x:v>
      </x:c>
      <x:c r="AM42" s="272">
        <x:f t="shared" si="14"/>
        <x:v>399.68134773128304</x:v>
      </x:c>
      <x:c r="AN42" s="272">
        <x:f t="shared" si="30"/>
        <x:v>792.06710695785978</x:v>
      </x:c>
      <x:c r="AO42" s="272">
        <x:f t="shared" si="31"/>
        <x:v>254.14451576037413</x:v>
      </x:c>
      <x:c r="AP42" s="272">
        <x:f t="shared" si="15"/>
        <x:v>289.94272062023242</x:v>
      </x:c>
      <x:c r="AQ42" s="272">
        <x:f t="shared" si="16"/>
        <x:v>720.4706972381432</x:v>
      </x:c>
      <x:c r="AR42" s="272"/>
      <x:c r="AS42" s="286">
        <x:f t="shared" si="32"/>
        <x:v>259.27353504384098</x:v>
      </x:c>
      <x:c r="AT42" s="286">
        <x:f t="shared" si="33"/>
        <x:v>2056.6250405766095</x:v>
      </x:c>
      <x:c r="AY42" s="279">
        <x:f t="shared" si="34"/>
        <x:v>-336.46113082164334</x:v>
      </x:c>
      <x:c r="AZ42" s="279">
        <x:f t="shared" si="35"/>
        <x:v>336.46113082164334</x:v>
      </x:c>
      <x:c r="BA42" s="279">
        <x:f t="shared" si="17"/>
        <x:v>-438.48468266160984</x:v>
      </x:c>
      <x:c r="BB42" s="279">
        <x:f t="shared" si="18"/>
        <x:v>-438.48468266160984</x:v>
      </x:c>
      <x:c r="BC42" s="279"/>
      <x:c r="BD42" s="289">
        <x:f t="shared" si="36"/>
        <x:v>0</x:v>
      </x:c>
      <x:c r="BE42" s="289">
        <x:f t="shared" si="37"/>
        <x:v>-876.96936532321968</x:v>
      </x:c>
    </x:row>
    <x:row r="43" ht="15.75" customHeight="1">
      <x:c r="A43" s="21">
        <x:v>22</x:v>
      </x:c>
      <x:c r="B43" s="21">
        <x:f t="shared" si="19"/>
        <x:v>202</x:v>
      </x:c>
      <x:c r="C43" s="21">
        <x:f t="shared" si="0"/>
        <x:v>202</x:v>
      </x:c>
      <x:c r="D43" s="21">
        <x:f t="shared" si="20"/>
        <x:v>22</x:v>
      </x:c>
      <x:c r="E43" s="22" t="n">
        <x:f t="shared" ref="E43:H43" si="48">A43*PI()/180</x:f>
        <x:v>0.3839724354387525</x:v>
      </x:c>
      <x:c r="F43" s="22">
        <x:f t="shared" si="48"/>
        <x:v>3.5255650890285457</x:v>
      </x:c>
      <x:c r="G43" s="22">
        <x:f t="shared" si="48"/>
        <x:v>3.5255650890285457</x:v>
      </x:c>
      <x:c r="H43" s="22">
        <x:f t="shared" si="48"/>
        <x:v>0.38397243543875248</x:v>
      </x:c>
      <x:c r="I43" s="23"/>
      <x:c r="J43" s="23"/>
      <x:c r="K43" s="23"/>
      <x:c r="L43" s="249">
        <x:f t="shared" si="2"/>
        <x:v>512.28934740585441</x:v>
      </x:c>
      <x:c r="M43" s="249">
        <x:f t="shared" si="3"/>
        <x:v>-512.28934740585441</x:v>
      </x:c>
      <x:c r="N43" s="249">
        <x:f t="shared" si="4"/>
        <x:v>-512.28934740585441</x:v>
      </x:c>
      <x:c r="O43" s="249">
        <x:f t="shared" si="5"/>
        <x:v>512.28934740585441</x:v>
      </x:c>
      <x:c r="P43" s="249">
        <x:f t="shared" si="6"/>
        <x:v>4011.0522527963585</x:v>
      </x:c>
      <x:c r="Q43" s="249">
        <x:f t="shared" si="7"/>
        <x:v>-2932.7447267329535</x:v>
      </x:c>
      <x:c r="R43" s="249">
        <x:f t="shared" si="8"/>
        <x:v>-2932.7447267329535</x:v>
      </x:c>
      <x:c r="S43" s="249">
        <x:f t="shared" si="9"/>
        <x:v>4011.0522527963585</x:v>
      </x:c>
      <x:c r="T43" s="23"/>
      <x:c r="U43" s="23"/>
      <x:c r="V43" s="260">
        <x:f t="shared" si="22"/>
        <x:v>3901.7737260211879</x:v>
      </x:c>
      <x:c r="W43" s="260">
        <x:f t="shared" si="23"/>
        <x:v>2513.4581812796378</x:v>
      </x:c>
      <x:c r="X43" s="260">
        <x:f t="shared" si="24"/>
        <x:v>-2905.5474729383268</x:v>
      </x:c>
      <x:c r="Y43" s="260">
        <x:f t="shared" si="25"/>
        <x:v>-3509.6844343624989</x:v>
      </x:c>
      <x:c r="Z43" s="260">
        <x:f t="shared" si="26"/>
        <x:v>1061.6696007040034</x:v>
      </x:c>
      <x:c r="AA43" s="260">
        <x:f t="shared" si="27"/>
        <x:v>-1595.6064610686171</x:v>
      </x:c>
      <x:c r="AB43" s="260">
        <x:f t="shared" si="28"/>
        <x:v>-649.01917548495112</x:v>
      </x:c>
      <x:c r="AC43" s="260">
        <x:f t="shared" si="29"/>
        <x:v>2008.2568862876694</x:v>
      </x:c>
      <x:c r="AD43" s="260"/>
      <x:c r="AE43" s="282">
        <x:f t="shared" si="39"/>
        <x:v>0</x:v>
      </x:c>
      <x:c r="AF43" s="282">
        <x:f t="shared" si="10"/>
        <x:v>825.30085043810459</x:v>
      </x:c>
      <x:c r="AJ43" s="272">
        <x:f t="shared" si="11"/>
        <x:v>-212.3339201408007</x:v>
      </x:c>
      <x:c r="AK43" s="272">
        <x:f t="shared" si="12"/>
        <x:v>159.56064610686173</x:v>
      </x:c>
      <x:c r="AL43" s="272">
        <x:f t="shared" si="13"/>
        <x:v>-64.901917548495121</x:v>
      </x:c>
      <x:c r="AM43" s="272">
        <x:f t="shared" si="14"/>
        <x:v>401.65137725753391</x:v>
      </x:c>
      <x:c r="AN43" s="272">
        <x:f t="shared" si="30"/>
        <x:v>780.35474520423759</x:v>
      </x:c>
      <x:c r="AO43" s="272">
        <x:f t="shared" si="31"/>
        <x:v>251.34581812796378</x:v>
      </x:c>
      <x:c r="AP43" s="272">
        <x:f t="shared" si="15"/>
        <x:v>290.55474729383269</x:v>
      </x:c>
      <x:c r="AQ43" s="272">
        <x:f t="shared" si="16"/>
        <x:v>701.93688687249983</x:v>
      </x:c>
      <x:c r="AR43" s="272"/>
      <x:c r="AS43" s="286">
        <x:f t="shared" si="32"/>
        <x:v>283.97618567509983</x:v>
      </x:c>
      <x:c r="AT43" s="286">
        <x:f t="shared" si="33"/>
        <x:v>2024.1921974985339</x:v>
      </x:c>
      <x:c r="AY43" s="279">
        <x:f t="shared" si="34"/>
        <x:v>-366.22867367072485</x:v>
      </x:c>
      <x:c r="AZ43" s="279">
        <x:f t="shared" si="35"/>
        <x:v>366.22867367072485</x:v>
      </x:c>
      <x:c r="BA43" s="279">
        <x:f t="shared" si="17"/>
        <x:v>-413.94621397473054</x:v>
      </x:c>
      <x:c r="BB43" s="279">
        <x:f t="shared" si="18"/>
        <x:v>-413.94621397473054</x:v>
      </x:c>
      <x:c r="BC43" s="279"/>
      <x:c r="BD43" s="289">
        <x:f t="shared" si="36"/>
        <x:v>0</x:v>
      </x:c>
      <x:c r="BE43" s="289">
        <x:f t="shared" si="37"/>
        <x:v>-827.89242794946108</x:v>
      </x:c>
    </x:row>
    <x:row r="44" ht="15.75" customHeight="1">
      <x:c r="A44" s="21">
        <x:v>24</x:v>
      </x:c>
      <x:c r="B44" s="21">
        <x:f t="shared" si="19"/>
        <x:v>204</x:v>
      </x:c>
      <x:c r="C44" s="21">
        <x:f t="shared" si="0"/>
        <x:v>204</x:v>
      </x:c>
      <x:c r="D44" s="21">
        <x:f t="shared" si="20"/>
        <x:v>24</x:v>
      </x:c>
      <x:c r="E44" s="22" t="n">
        <x:f t="shared" ref="E44:H44" si="49">A44*PI()/180</x:f>
        <x:v>0.41887902047863906</x:v>
      </x:c>
      <x:c r="F44" s="22">
        <x:f t="shared" si="49"/>
        <x:v>3.5604716740684319</x:v>
      </x:c>
      <x:c r="G44" s="22">
        <x:f t="shared" si="49"/>
        <x:v>3.5604716740684319</x:v>
      </x:c>
      <x:c r="H44" s="22">
        <x:f t="shared" si="49"/>
        <x:v>0.41887902047863906</x:v>
      </x:c>
      <x:c r="I44" s="23"/>
      <x:c r="J44" s="23"/>
      <x:c r="K44" s="23"/>
      <x:c r="L44" s="249">
        <x:f t="shared" si="2"/>
        <x:v>556.22846236453586</x:v>
      </x:c>
      <x:c r="M44" s="249">
        <x:f t="shared" si="3"/>
        <x:v>-556.2284623645354</x:v>
      </x:c>
      <x:c r="N44" s="249">
        <x:f t="shared" si="4"/>
        <x:v>-556.2284623645354</x:v>
      </x:c>
      <x:c r="O44" s="249">
        <x:f t="shared" si="5"/>
        <x:v>556.22846236453586</x:v>
      </x:c>
      <x:c r="P44" s="249">
        <x:f t="shared" si="6"/>
        <x:v>3922.350024377115</x:v>
      </x:c>
      <x:c r="Q44" s="249">
        <x:f t="shared" si="7"/>
        <x:v>-2919.3072782139739</x:v>
      </x:c>
      <x:c r="R44" s="249">
        <x:f t="shared" si="8"/>
        <x:v>-2919.3072782139739</x:v>
      </x:c>
      <x:c r="S44" s="249">
        <x:f t="shared" si="9"/>
        <x:v>3922.350024377115</x:v>
      </x:c>
      <x:c r="T44" s="23"/>
      <x:c r="U44" s="23"/>
      <x:c r="V44" s="260">
        <x:f t="shared" si="22"/>
        <x:v>3836.6383240239802</x:v>
      </x:c>
      <x:c r="W44" s="260">
        <x:f t="shared" si="23"/>
        <x:v>2484.2288262963066</x:v>
      </x:c>
      <x:c r="X44" s="260">
        <x:f t="shared" si="24"/>
        <x:v>-2909.9476606099397</x:v>
      </x:c>
      <x:c r="Y44" s="260">
        <x:f t="shared" si="25"/>
        <x:v>-3410.9194897103462</x:v>
      </x:c>
      <x:c r="Z44" s="260">
        <x:f t="shared" si="26"/>
        <x:v>987.13027848710885</x:v>
      </x:c>
      <x:c r="AA44" s="260">
        <x:f t="shared" si="27"/>
        <x:v>-1631.0586211341306</x:v>
      </x:c>
      <x:c r="AB44" s="260">
        <x:f t="shared" si="28"/>
        <x:v>-603.28243757649307</x:v>
      </x:c>
      <x:c r="AC44" s="260">
        <x:f t="shared" si="29"/>
        <x:v>2014.9064620447473</x:v>
      </x:c>
      <x:c r="AD44" s="260"/>
      <x:c r="AE44" s="282">
        <x:f t="shared" si="39"/>
        <x:v>0</x:v>
      </x:c>
      <x:c r="AF44" s="282">
        <x:f t="shared" si="10"/>
        <x:v>767.69568182123248</x:v>
      </x:c>
      <x:c r="AJ44" s="272">
        <x:f t="shared" si="11"/>
        <x:v>-197.42605569742179</x:v>
      </x:c>
      <x:c r="AK44" s="272">
        <x:f t="shared" si="12"/>
        <x:v>163.10586211341308</x:v>
      </x:c>
      <x:c r="AL44" s="272">
        <x:f t="shared" si="13"/>
        <x:v>-60.328243757649311</x:v>
      </x:c>
      <x:c r="AM44" s="272">
        <x:f t="shared" si="14"/>
        <x:v>402.98129240894946</x:v>
      </x:c>
      <x:c r="AN44" s="272">
        <x:f t="shared" si="30"/>
        <x:v>767.32766480479609</x:v>
      </x:c>
      <x:c r="AO44" s="272">
        <x:f t="shared" si="31"/>
        <x:v>248.42288262963066</x:v>
      </x:c>
      <x:c r="AP44" s="272">
        <x:f t="shared" si="15"/>
        <x:v>290.99476606099398</x:v>
      </x:c>
      <x:c r="AQ44" s="272">
        <x:f t="shared" si="16"/>
        <x:v>682.18389794206928</x:v>
      </x:c>
      <x:c r="AR44" s="272"/>
      <x:c r="AS44" s="286">
        <x:f t="shared" si="32"/>
        <x:v>308.33285506729146</x:v>
      </x:c>
      <x:c r="AT44" s="286">
        <x:f t="shared" si="33"/>
        <x:v>1988.92921143749</x:v>
      </x:c>
      <x:c r="AY44" s="279">
        <x:f t="shared" si="34"/>
        <x:v>-394.21198723485998</x:v>
      </x:c>
      <x:c r="AZ44" s="279">
        <x:f t="shared" si="35"/>
        <x:v>394.21198723485998</x:v>
      </x:c>
      <x:c r="BA44" s="279">
        <x:f t="shared" si="17"/>
        <x:v>-387.39104094309448</x:v>
      </x:c>
      <x:c r="BB44" s="279">
        <x:f t="shared" si="18"/>
        <x:v>-387.39104094309448</x:v>
      </x:c>
      <x:c r="BC44" s="279"/>
      <x:c r="BD44" s="289">
        <x:f t="shared" si="36"/>
        <x:v>0</x:v>
      </x:c>
      <x:c r="BE44" s="289">
        <x:f t="shared" si="37"/>
        <x:v>-774.78208188618896</x:v>
      </x:c>
    </x:row>
    <x:row r="45" ht="15.75" customHeight="1">
      <x:c r="A45" s="21">
        <x:v>26</x:v>
      </x:c>
      <x:c r="B45" s="21">
        <x:f t="shared" si="19"/>
        <x:v>206</x:v>
      </x:c>
      <x:c r="C45" s="21">
        <x:f t="shared" si="0"/>
        <x:v>206</x:v>
      </x:c>
      <x:c r="D45" s="21">
        <x:f t="shared" si="20"/>
        <x:v>26</x:v>
      </x:c>
      <x:c r="E45" s="22" t="n">
        <x:f t="shared" ref="E45:H45" si="50">A45*PI()/180</x:f>
        <x:v>0.4537856055185257</x:v>
      </x:c>
      <x:c r="F45" s="22">
        <x:f t="shared" si="50"/>
        <x:v>3.5953782591083185</x:v>
      </x:c>
      <x:c r="G45" s="22">
        <x:f t="shared" si="50"/>
        <x:v>3.5953782591083185</x:v>
      </x:c>
      <x:c r="H45" s="22">
        <x:f t="shared" si="50"/>
        <x:v>0.4537856055185257</x:v>
      </x:c>
      <x:c r="I45" s="23"/>
      <x:c r="J45" s="23"/>
      <x:c r="K45" s="23"/>
      <x:c r="L45" s="249">
        <x:f t="shared" si="2"/>
        <x:v>599.48989862225255</x:v>
      </x:c>
      <x:c r="M45" s="249">
        <x:f t="shared" si="3"/>
        <x:v>-599.4898986222521</x:v>
      </x:c>
      <x:c r="N45" s="249">
        <x:f t="shared" si="4"/>
        <x:v>-599.4898986222521</x:v>
      </x:c>
      <x:c r="O45" s="249">
        <x:f t="shared" si="5"/>
        <x:v>599.48989862225255</x:v>
      </x:c>
      <x:c r="P45" s="249">
        <x:f t="shared" si="6"/>
        <x:v>3827.0366814676258</x:v>
      </x:c>
      <x:c r="Q45" s="249">
        <x:f t="shared" si="7"/>
        <x:v>-2904.1454386385508</x:v>
      </x:c>
      <x:c r="R45" s="249">
        <x:f t="shared" si="8"/>
        <x:v>-2904.1454386385508</x:v>
      </x:c>
      <x:c r="S45" s="249">
        <x:f t="shared" si="9"/>
        <x:v>3827.0366814676258</x:v>
      </x:c>
      <x:c r="T45" s="23"/>
      <x:c r="U45" s="23"/>
      <x:c r="V45" s="260">
        <x:f t="shared" si="22"/>
        <x:v>3765.1357122508193</x:v>
      </x:c>
      <x:c r="W45" s="260">
        <x:f t="shared" si="23"/>
        <x:v>2453.6656781212068</x:v>
      </x:c>
      <x:c r="X45" s="260">
        <x:f t="shared" si="24"/>
        <x:v>-2912.4953822671332</x:v>
      </x:c>
      <x:c r="Y45" s="260">
        <x:f t="shared" si="25"/>
        <x:v>-3306.306008104893</x:v>
      </x:c>
      <x:c r="Z45" s="260">
        <x:f t="shared" si="26"/>
        <x:v>910.68708576676875</x:v>
      </x:c>
      <x:c r="AA45" s="260">
        <x:f t="shared" si="27"/>
        <x:v>-1665.224791829985</x:v>
      </x:c>
      <x:c r="AB45" s="260">
        <x:f t="shared" si="28"/>
        <x:v>-557.51189726125494</x:v>
      </x:c>
      <x:c r="AC45" s="260">
        <x:f t="shared" si="29"/>
        <x:v>2018.3999803354995</x:v>
      </x:c>
      <x:c r="AD45" s="260"/>
      <x:c r="AE45" s="282">
        <x:f t="shared" si="39"/>
        <x:v>0</x:v>
      </x:c>
      <x:c r="AF45" s="282">
        <x:f t="shared" si="10"/>
        <x:v>706.35037701102829</x:v>
      </x:c>
      <x:c r="AJ45" s="272">
        <x:f t="shared" si="11"/>
        <x:v>-182.13741715335377</x:v>
      </x:c>
      <x:c r="AK45" s="272">
        <x:f t="shared" si="12"/>
        <x:v>166.5224791829985</x:v>
      </x:c>
      <x:c r="AL45" s="272">
        <x:f t="shared" si="13"/>
        <x:v>-55.751189726125496</x:v>
      </x:c>
      <x:c r="AM45" s="272">
        <x:f t="shared" si="14"/>
        <x:v>403.67999606709992</x:v>
      </x:c>
      <x:c r="AN45" s="272">
        <x:f t="shared" si="30"/>
        <x:v>753.02714245016386</x:v>
      </x:c>
      <x:c r="AO45" s="272">
        <x:f t="shared" si="31"/>
        <x:v>245.36656781212071</x:v>
      </x:c>
      <x:c r="AP45" s="272">
        <x:f t="shared" si="15"/>
        <x:v>291.24953822671336</x:v>
      </x:c>
      <x:c r="AQ45" s="272">
        <x:f t="shared" si="16"/>
        <x:v>661.26120162097868</x:v>
      </x:c>
      <x:c r="AR45" s="272"/>
      <x:c r="AS45" s="286">
        <x:f t="shared" si="32"/>
        <x:v>332.31386837061916</x:v>
      </x:c>
      <x:c r="AT45" s="286">
        <x:f t="shared" si="33"/>
        <x:v>1950.9044501099766</x:v>
      </x:c>
      <x:c r="AY45" s="279">
        <x:f t="shared" si="34"/>
        <x:v>-420.27473962323762</x:v>
      </x:c>
      <x:c r="AZ45" s="279">
        <x:f t="shared" si="35"/>
        <x:v>420.27473962323762</x:v>
      </x:c>
      <x:c r="BA45" s="279">
        <x:f t="shared" si="17"/>
        <x:v>-358.94853770039452</x:v>
      </x:c>
      <x:c r="BB45" s="279">
        <x:f t="shared" si="18"/>
        <x:v>-358.94853770039452</x:v>
      </x:c>
      <x:c r="BC45" s="279"/>
      <x:c r="BD45" s="289">
        <x:f t="shared" si="36"/>
        <x:v>0</x:v>
      </x:c>
      <x:c r="BE45" s="289">
        <x:f t="shared" si="37"/>
        <x:v>-717.89707540078905</x:v>
      </x:c>
    </x:row>
    <x:row r="46" ht="15.75" customHeight="1">
      <x:c r="A46" s="21">
        <x:v>28</x:v>
      </x:c>
      <x:c r="B46" s="21">
        <x:f t="shared" si="19"/>
        <x:v>208</x:v>
      </x:c>
      <x:c r="C46" s="21">
        <x:f t="shared" si="0"/>
        <x:v>208</x:v>
      </x:c>
      <x:c r="D46" s="21">
        <x:f t="shared" si="20"/>
        <x:v>28</x:v>
      </x:c>
      <x:c r="E46" s="22" t="n">
        <x:f t="shared" ref="E46:H46" si="51">A46*PI()/180</x:f>
        <x:v>0.4886921905584123</x:v>
      </x:c>
      <x:c r="F46" s="22">
        <x:f t="shared" si="51"/>
        <x:v>3.6302848441482056</x:v>
      </x:c>
      <x:c r="G46" s="22">
        <x:f t="shared" si="51"/>
        <x:v>3.6302848441482056</x:v>
      </x:c>
      <x:c r="H46" s="22">
        <x:f t="shared" si="51"/>
        <x:v>0.48869219055841229</x:v>
      </x:c>
      <x:c r="I46" s="23"/>
      <x:c r="J46" s="23"/>
      <x:c r="K46" s="23"/>
      <x:c r="L46" s="249">
        <x:f t="shared" si="2"/>
        <x:v>642.02094878283788</x:v>
      </x:c>
      <x:c r="M46" s="249">
        <x:f t="shared" si="3"/>
        <x:v>-642.02094878283799</x:v>
      </x:c>
      <x:c r="N46" s="249">
        <x:f t="shared" si="4"/>
        <x:v>-642.02094878283799</x:v>
      </x:c>
      <x:c r="O46" s="249">
        <x:f t="shared" si="5"/>
        <x:v>642.02094878283788</x:v>
      </x:c>
      <x:c r="P46" s="249">
        <x:f t="shared" si="6"/>
        <x:v>3725.374767597842</x:v>
      </x:c>
      <x:c r="Q46" s="249">
        <x:f t="shared" si="7"/>
        <x:v>-2887.1312614691924</x:v>
      </x:c>
      <x:c r="R46" s="249">
        <x:f t="shared" si="8"/>
        <x:v>-2887.1312614691924</x:v>
      </x:c>
      <x:c r="S46" s="249">
        <x:f t="shared" si="9"/>
        <x:v>3725.374767597842</x:v>
      </x:c>
      <x:c r="T46" s="23"/>
      <x:c r="U46" s="23"/>
      <x:c r="V46" s="260">
        <x:f t="shared" si="22"/>
        <x:v>3687.4882790481456</x:v>
      </x:c>
      <x:c r="W46" s="260">
        <x:f t="shared" si="23"/>
        <x:v>2421.6706998143709</x:v>
      </x:c>
      <x:c r="X46" s="260">
        <x:f t="shared" si="24"/>
        <x:v>-2913.0522604753869</x:v>
      </x:c>
      <x:c r="Y46" s="260">
        <x:f t="shared" si="25"/>
        <x:v>-3196.1067183871296</x:v>
      </x:c>
      <x:c r="Z46" s="260">
        <x:f t="shared" si="26"/>
        <x:v>832.48918888669994</x:v>
      </x:c>
      <x:c r="AA46" s="260">
        <x:f t="shared" si="27"/>
        <x:v>-1698.0073148515232</x:v>
      </x:c>
      <x:c r="AB46" s="260">
        <x:f t="shared" si="28"/>
        <x:v>-511.70728680364095</x:v>
      </x:c>
      <x:c r="AC46" s="260">
        <x:f t="shared" si="29"/>
        <x:v>2018.7892169345819</x:v>
      </x:c>
      <x:c r="AD46" s="260"/>
      <x:c r="AE46" s="282">
        <x:f t="shared" si="39"/>
        <x:v>0</x:v>
      </x:c>
      <x:c r="AF46" s="282">
        <x:f t="shared" si="10"/>
        <x:v>641.56380416611773</x:v>
      </x:c>
      <x:c r="AJ46" s="272">
        <x:f t="shared" si="11"/>
        <x:v>-166.49783777734001</x:v>
      </x:c>
      <x:c r="AK46" s="272">
        <x:f t="shared" si="12"/>
        <x:v>169.80073148515234</x:v>
      </x:c>
      <x:c r="AL46" s="272">
        <x:f t="shared" si="13"/>
        <x:v>-51.1707286803641</x:v>
      </x:c>
      <x:c r="AM46" s="272">
        <x:f t="shared" si="14"/>
        <x:v>403.75784338691642</x:v>
      </x:c>
      <x:c r="AN46" s="272">
        <x:f t="shared" si="30"/>
        <x:v>737.49765580962912</x:v>
      </x:c>
      <x:c r="AO46" s="272">
        <x:f t="shared" si="31"/>
        <x:v>242.16706998143709</x:v>
      </x:c>
      <x:c r="AP46" s="272">
        <x:f t="shared" si="15"/>
        <x:v>291.30522604753872</x:v>
      </x:c>
      <x:c r="AQ46" s="272">
        <x:f t="shared" si="16"/>
        <x:v>639.22134367742592</x:v>
      </x:c>
      <x:c r="AR46" s="272"/>
      <x:c r="AS46" s="286">
        <x:f t="shared" si="32"/>
        <x:v>355.89000841436467</x:v>
      </x:c>
      <x:c r="AT46" s="286">
        <x:f t="shared" si="33"/>
        <x:v>1910.1912955160308</x:v>
      </x:c>
      <x:c r="AY46" s="279">
        <x:f t="shared" si="34"/>
        <x:v>-444.28995572603941</x:v>
      </x:c>
      <x:c r="AZ46" s="279">
        <x:f t="shared" si="35"/>
        <x:v>444.28995572603941</x:v>
      </x:c>
      <x:c r="BA46" s="279">
        <x:f t="shared" si="17"/>
        <x:v>-328.75727326339967</x:v>
      </x:c>
      <x:c r="BB46" s="279">
        <x:f t="shared" si="18"/>
        <x:v>-328.75727326339967</x:v>
      </x:c>
      <x:c r="BC46" s="279"/>
      <x:c r="BD46" s="289">
        <x:f t="shared" si="36"/>
        <x:v>0</x:v>
      </x:c>
      <x:c r="BE46" s="289">
        <x:f t="shared" si="37"/>
        <x:v>-657.51454652679934</x:v>
      </x:c>
    </x:row>
    <x:row r="47" ht="15.75" customHeight="1">
      <x:c r="A47" s="21">
        <x:v>30</x:v>
      </x:c>
      <x:c r="B47" s="21">
        <x:f t="shared" si="19"/>
        <x:v>210</x:v>
      </x:c>
      <x:c r="C47" s="21">
        <x:f t="shared" si="0"/>
        <x:v>210</x:v>
      </x:c>
      <x:c r="D47" s="21">
        <x:f t="shared" si="20"/>
        <x:v>30</x:v>
      </x:c>
      <x:c r="E47" s="22" t="n">
        <x:f t="shared" ref="E47:H47" si="52">A47*PI()/180</x:f>
        <x:v>0.5235987755982988</x:v>
      </x:c>
      <x:c r="F47" s="22">
        <x:f t="shared" si="52"/>
        <x:v>3.6651914291880923</x:v>
      </x:c>
      <x:c r="G47" s="22">
        <x:f t="shared" si="52"/>
        <x:v>3.6651914291880923</x:v>
      </x:c>
      <x:c r="H47" s="22">
        <x:f t="shared" si="52"/>
        <x:v>0.52359877559829882</x:v>
      </x:c>
      <x:c r="I47" s="23"/>
      <x:c r="J47" s="23"/>
      <x:c r="K47" s="23"/>
      <x:c r="L47" s="249">
        <x:f t="shared" si="2"/>
        <x:v>683.76979531307688</x:v>
      </x:c>
      <x:c r="M47" s="249">
        <x:f t="shared" si="3"/>
        <x:v>-683.76979531307711</x:v>
      </x:c>
      <x:c r="N47" s="249">
        <x:f t="shared" si="4"/>
        <x:v>-683.76979531307711</x:v>
      </x:c>
      <x:c r="O47" s="249">
        <x:f t="shared" si="5"/>
        <x:v>683.76979531307688</x:v>
      </x:c>
      <x:c r="P47" s="249">
        <x:f t="shared" si="6"/>
        <x:v>3617.6427746681256</x:v>
      </x:c>
      <x:c r="Q47" s="249">
        <x:f t="shared" si="7"/>
        <x:v>-2868.130843341818</x:v>
      </x:c>
      <x:c r="R47" s="249">
        <x:f t="shared" si="8"/>
        <x:v>-2868.130843341818</x:v>
      </x:c>
      <x:c r="S47" s="249">
        <x:f t="shared" si="9"/>
        <x:v>3617.6427746681256</x:v>
      </x:c>
      <x:c r="T47" s="23"/>
      <x:c r="U47" s="23"/>
      <x:c r="V47" s="260">
        <x:f t="shared" si="22"/>
        <x:v>3603.9334876712051</x:v>
      </x:c>
      <x:c r="W47" s="260">
        <x:f t="shared" si="23"/>
        <x:v>2388.1400105098583</x:v>
      </x:c>
      <x:c r="X47" s="260">
        <x:f t="shared" si="24"/>
        <x:v>-2911.4747549458243</x:v>
      </x:c>
      <x:c r="Y47" s="260">
        <x:f t="shared" si="25"/>
        <x:v>-3080.598743235239</x:v>
      </x:c>
      <x:c r="Z47" s="260">
        <x:f t="shared" si="26"/>
        <x:v>752.69103524158186</x:v>
      </x:c>
      <x:c r="AA47" s="260">
        <x:f t="shared" si="27"/>
        <x:v>-1729.3070744414106</x:v>
      </x:c>
      <x:c r="AB47" s="260">
        <x:f t="shared" si="28"/>
        <x:v>-465.86523676304273</x:v>
      </x:c>
      <x:c r="AC47" s="260">
        <x:f t="shared" si="29"/>
        <x:v>2016.1328729199492</x:v>
      </x:c>
      <x:c r="AD47" s="260"/>
      <x:c r="AE47" s="282">
        <x:f t="shared" si="39"/>
        <x:v>0</x:v>
      </x:c>
      <x:c r="AF47" s="282">
        <x:f t="shared" si="10"/>
        <x:v>573.6515969570778</x:v>
      </x:c>
      <x:c r="AJ47" s="272">
        <x:f t="shared" si="11"/>
        <x:v>-150.53820704831637</x:v>
      </x:c>
      <x:c r="AK47" s="272">
        <x:f t="shared" si="12"/>
        <x:v>172.93070744414106</x:v>
      </x:c>
      <x:c r="AL47" s="272">
        <x:f t="shared" si="13"/>
        <x:v>-46.586523676304274</x:v>
      </x:c>
      <x:c r="AM47" s="272">
        <x:f t="shared" si="14"/>
        <x:v>403.22657458398987</x:v>
      </x:c>
      <x:c r="AN47" s="272">
        <x:f t="shared" si="30"/>
        <x:v>720.78669753424106</x:v>
      </x:c>
      <x:c r="AO47" s="272">
        <x:f t="shared" si="31"/>
        <x:v>238.81400105098584</x:v>
      </x:c>
      <x:c r="AP47" s="272">
        <x:f t="shared" si="15"/>
        <x:v>291.14747549458247</x:v>
      </x:c>
      <x:c r="AQ47" s="272">
        <x:f t="shared" si="16"/>
        <x:v>616.1197486470478</x:v>
      </x:c>
      <x:c r="AR47" s="272"/>
      <x:c r="AS47" s="286">
        <x:f t="shared" si="32"/>
        <x:v>379.03255130351027</x:v>
      </x:c>
      <x:c r="AT47" s="286">
        <x:f t="shared" si="33"/>
        <x:v>1866.8679227268572</x:v>
      </x:c>
      <x:c r="AY47" s="279">
        <x:f t="shared" si="34"/>
        <x:v>-466.14063582441446</x:v>
      </x:c>
      <x:c r="AZ47" s="279">
        <x:f t="shared" si="35"/>
        <x:v>466.14063582441446</x:v>
      </x:c>
      <x:c r="BA47" s="279">
        <x:f t="shared" si="17"/>
        <x:v>-296.96433643763072</x:v>
      </x:c>
      <x:c r="BB47" s="279">
        <x:f t="shared" si="18"/>
        <x:v>-296.96433643763072</x:v>
      </x:c>
      <x:c r="BC47" s="279"/>
      <x:c r="BD47" s="289">
        <x:f t="shared" si="36"/>
        <x:v>0</x:v>
      </x:c>
      <x:c r="BE47" s="289">
        <x:f t="shared" si="37"/>
        <x:v>-593.92867287526144</x:v>
      </x:c>
    </x:row>
    <x:row r="48" ht="15.75" customHeight="1">
      <x:c r="A48" s="21">
        <x:v>32</x:v>
      </x:c>
      <x:c r="B48" s="21">
        <x:f t="shared" si="19"/>
        <x:v>212</x:v>
      </x:c>
      <x:c r="C48" s="21">
        <x:f t="shared" si="0"/>
        <x:v>212</x:v>
      </x:c>
      <x:c r="D48" s="21">
        <x:f t="shared" si="20"/>
        <x:v>32</x:v>
      </x:c>
      <x:c r="E48" s="22" t="n">
        <x:f t="shared" ref="E48:H48" si="53">A48*PI()/180</x:f>
        <x:v>0.5585053606381855</x:v>
      </x:c>
      <x:c r="F48" s="22">
        <x:f t="shared" si="53"/>
        <x:v>3.7000980142279785</x:v>
      </x:c>
      <x:c r="G48" s="22">
        <x:f t="shared" si="53"/>
        <x:v>3.7000980142279785</x:v>
      </x:c>
      <x:c r="H48" s="22">
        <x:f t="shared" si="53"/>
        <x:v>0.55850536063818546</x:v>
      </x:c>
      <x:c r="I48" s="23"/>
      <x:c r="J48" s="23"/>
      <x:c r="K48" s="23"/>
      <x:c r="L48" s="249">
        <x:f t="shared" si="2"/>
        <x:v>724.68557367438973</x:v>
      </x:c>
      <x:c r="M48" s="249">
        <x:f t="shared" si="3"/>
        <x:v>-724.68557367438962</x:v>
      </x:c>
      <x:c r="N48" s="249">
        <x:f t="shared" si="4"/>
        <x:v>-724.68557367438962</x:v>
      </x:c>
      <x:c r="O48" s="249">
        <x:f t="shared" si="5"/>
        <x:v>724.68557367438973</x:v>
      </x:c>
      <x:c r="P48" s="249">
        <x:f t="shared" si="6"/>
        <x:v>3504.1340502956823</x:v>
      </x:c>
      <x:c r="Q48" s="249">
        <x:f t="shared" si="7"/>
        <x:v>-2847.0052405604633</x:v>
      </x:c>
      <x:c r="R48" s="249">
        <x:f t="shared" si="8"/>
        <x:v>-2847.0052405604633</x:v>
      </x:c>
      <x:c r="S48" s="249">
        <x:f t="shared" si="9"/>
        <x:v>3504.1340502956823</x:v>
      </x:c>
      <x:c r="T48" s="23"/>
      <x:c r="U48" s="23"/>
      <x:c r="V48" s="260">
        <x:f t="shared" si="22"/>
        <x:v>3514.7228909632368</x:v>
      </x:c>
      <x:c r="W48" s="260">
        <x:f t="shared" si="23"/>
        <x:v>2352.9647079870047</x:v>
      </x:c>
      <x:c r="X48" s="260">
        <x:f t="shared" si="24"/>
        <x:v>-2907.6150334253643</x:v>
      </x:c>
      <x:c r="Y48" s="260">
        <x:f t="shared" si="25"/>
        <x:v>-2960.0725655248771</x:v>
      </x:c>
      <x:c r="Z48" s="260">
        <x:f t="shared" si="26"/>
        <x:v>671.45187681056734</x:v>
      </x:c>
      <x:c r="AA48" s="260">
        <x:f t="shared" si="27"/>
        <x:v>-1759.023906443045</x:v>
      </x:c>
      <x:c r="AB48" s="260">
        <x:f t="shared" si="28"/>
        <x:v>-419.97956839510766</x:v>
      </x:c>
      <x:c r="AC48" s="260">
        <x:f t="shared" si="29"/>
        <x:v>2010.496214858505</x:v>
      </x:c>
      <x:c r="AD48" s="260"/>
      <x:c r="AE48" s="282">
        <x:f t="shared" si="39"/>
        <x:v>0</x:v>
      </x:c>
      <x:c r="AF48" s="282">
        <x:f t="shared" si="10"/>
        <x:v>502.94461683091981</x:v>
      </x:c>
      <x:c r="AJ48" s="272">
        <x:f t="shared" si="11"/>
        <x:v>-134.29037536211348</x:v>
      </x:c>
      <x:c r="AK48" s="272">
        <x:f t="shared" si="12"/>
        <x:v>175.90239064430452</x:v>
      </x:c>
      <x:c r="AL48" s="272">
        <x:f t="shared" si="13"/>
        <x:v>-41.997956839510771</x:v>
      </x:c>
      <x:c r="AM48" s="272">
        <x:f t="shared" si="14"/>
        <x:v>402.09924297170102</x:v>
      </x:c>
      <x:c r="AN48" s="272">
        <x:f t="shared" si="30"/>
        <x:v>702.94457819264744</x:v>
      </x:c>
      <x:c r="AO48" s="272">
        <x:f t="shared" si="31"/>
        <x:v>235.29647079870048</x:v>
      </x:c>
      <x:c r="AP48" s="272">
        <x:f t="shared" si="15"/>
        <x:v>290.76150334253646</x:v>
      </x:c>
      <x:c r="AQ48" s="272">
        <x:f t="shared" si="16"/>
        <x:v>592.01451310497544</x:v>
      </x:c>
      <x:c r="AR48" s="272"/>
      <x:c r="AS48" s="286">
        <x:f t="shared" si="32"/>
        <x:v>401.71330141438131</x:v>
      </x:c>
      <x:c r="AT48" s="286">
        <x:f t="shared" si="33"/>
        <x:v>1821.0170654388598</x:v>
      </x:c>
      <x:c r="AY48" s="279">
        <x:f t="shared" si="34"/>
        <x:v>-485.72032560134585</x:v>
      </x:c>
      <x:c r="AZ48" s="279">
        <x:f t="shared" si="35"/>
        <x:v>485.72032560134585</x:v>
      </x:c>
      <x:c r="BA48" s="279">
        <x:f t="shared" si="17"/>
        <x:v>-263.7246192154883</x:v>
      </x:c>
      <x:c r="BB48" s="279">
        <x:f t="shared" si="18"/>
        <x:v>-263.7246192154883</x:v>
      </x:c>
      <x:c r="BC48" s="279"/>
      <x:c r="BD48" s="289">
        <x:f t="shared" si="36"/>
        <x:v>0</x:v>
      </x:c>
      <x:c r="BE48" s="289">
        <x:f t="shared" si="37"/>
        <x:v>-527.44923843097661</x:v>
      </x:c>
    </x:row>
    <x:row r="49" ht="15.75" customHeight="1">
      <x:c r="A49" s="21">
        <x:v>34</x:v>
      </x:c>
      <x:c r="B49" s="21">
        <x:f t="shared" si="19"/>
        <x:v>214</x:v>
      </x:c>
      <x:c r="C49" s="21">
        <x:f t="shared" si="0"/>
        <x:v>214</x:v>
      </x:c>
      <x:c r="D49" s="21">
        <x:f t="shared" si="20"/>
        <x:v>34</x:v>
      </x:c>
      <x:c r="E49" s="22" t="n">
        <x:f t="shared" ref="E49:H49" si="54">A49*PI()/180</x:f>
        <x:v>0.5934119456780721</x:v>
      </x:c>
      <x:c r="F49" s="22">
        <x:f t="shared" si="54"/>
        <x:v>3.7350045992678651</x:v>
      </x:c>
      <x:c r="G49" s="22">
        <x:f t="shared" si="54"/>
        <x:v>3.7350045992678651</x:v>
      </x:c>
      <x:c r="H49" s="22">
        <x:f t="shared" si="54"/>
        <x:v>0.59341194567807209</x:v>
      </x:c>
      <x:c r="I49" s="23"/>
      <x:c r="J49" s="23"/>
      <x:c r="K49" s="23"/>
      <x:c r="L49" s="249">
        <x:f t="shared" si="2"/>
        <x:v>764.71843429343562</x:v>
      </x:c>
      <x:c r="M49" s="249">
        <x:f t="shared" si="3"/>
        <x:v>-764.71843429343539</x:v>
      </x:c>
      <x:c r="N49" s="249">
        <x:f t="shared" si="4"/>
        <x:v>-764.71843429343539</x:v>
      </x:c>
      <x:c r="O49" s="249">
        <x:f t="shared" si="5"/>
        <x:v>764.71843429343562</x:v>
      </x:c>
      <x:c r="P49" s="249">
        <x:f t="shared" si="6"/>
        <x:v>3385.1556507159539</x:v>
      </x:c>
      <x:c r="Q49" s="249">
        <x:f t="shared" si="7"/>
        <x:v>-2823.6114280784968</x:v>
      </x:c>
      <x:c r="R49" s="249">
        <x:f t="shared" si="8"/>
        <x:v>-2823.6114280784968</x:v>
      </x:c>
      <x:c r="S49" s="249">
        <x:f t="shared" si="9"/>
        <x:v>3385.1556507159539</x:v>
      </x:c>
      <x:c r="T49" s="23"/>
      <x:c r="U49" s="23"/>
      <x:c r="V49" s="260">
        <x:f t="shared" si="22"/>
        <x:v>3420.1210952896654</x:v>
      </x:c>
      <x:c r="W49" s="260">
        <x:f t="shared" si="23"/>
        <x:v>2316.0317309384191</x:v>
      </x:c>
      <x:c r="X49" s="260">
        <x:f t="shared" si="24"/>
        <x:v>-2901.3218813949579</x:v>
      </x:c>
      <x:c r="Y49" s="260">
        <x:f t="shared" si="25"/>
        <x:v>-2834.8309448331265</x:v>
      </x:c>
      <x:c r="Z49" s="260">
        <x:f t="shared" si="26"/>
        <x:v>588.93527392827809</x:v>
      </x:c>
      <x:c r="AA49" s="260">
        <x:f t="shared" si="27"/>
        <x:v>-1787.0570225401543</x:v>
      </x:c>
      <x:c r="AB49" s="260">
        <x:f t="shared" si="28"/>
        <x:v>-374.04160338458996</x:v>
      </x:c>
      <x:c r="AC49" s="260">
        <x:f t="shared" si="29"/>
        <x:v>2001.9506930838429</x:v>
      </x:c>
      <x:c r="AD49" s="260"/>
      <x:c r="AE49" s="282">
        <x:f t="shared" si="39"/>
        <x:v>0</x:v>
      </x:c>
      <x:c r="AF49" s="282">
        <x:f t="shared" si="10"/>
        <x:v>429.78734108737672</x:v>
      </x:c>
      <x:c r="AJ49" s="272">
        <x:f t="shared" si="11"/>
        <x:v>-117.78705478565563</x:v>
      </x:c>
      <x:c r="AK49" s="272">
        <x:f t="shared" si="12"/>
        <x:v>178.70570225401545</x:v>
      </x:c>
      <x:c r="AL49" s="272">
        <x:f t="shared" si="13"/>
        <x:v>-37.404160338459</x:v>
      </x:c>
      <x:c r="AM49" s="272">
        <x:f t="shared" si="14"/>
        <x:v>400.39013861676858</x:v>
      </x:c>
      <x:c r="AN49" s="272">
        <x:f t="shared" si="30"/>
        <x:v>684.02421905793312</x:v>
      </x:c>
      <x:c r="AO49" s="272">
        <x:f t="shared" si="31"/>
        <x:v>231.60317309384192</x:v>
      </x:c>
      <x:c r="AP49" s="272">
        <x:f t="shared" si="15"/>
        <x:v>290.13218813949578</x:v>
      </x:c>
      <x:c r="AQ49" s="272">
        <x:f t="shared" si="16"/>
        <x:v>566.96618896662528</x:v>
      </x:c>
      <x:c r="AR49" s="272"/>
      <x:c r="AS49" s="286">
        <x:f t="shared" si="32"/>
        <x:v>423.90462574666941</x:v>
      </x:c>
      <x:c r="AT49" s="286">
        <x:f t="shared" si="33"/>
        <x:v>1772.725769257896</x:v>
      </x:c>
      <x:c r="AY49" s="279">
        <x:f t="shared" si="34"/>
        <x:v>-502.93363477638383</x:v>
      </x:c>
      <x:c r="AZ49" s="279">
        <x:f t="shared" si="35"/>
        <x:v>502.93363477638383</x:v>
      </x:c>
      <x:c r="BA49" s="279">
        <x:f t="shared" si="17"/>
        <x:v>-229.20006215803406</x:v>
      </x:c>
      <x:c r="BB49" s="279">
        <x:f t="shared" si="18"/>
        <x:v>-229.20006215803406</x:v>
      </x:c>
      <x:c r="BC49" s="279"/>
      <x:c r="BD49" s="289">
        <x:f t="shared" si="36"/>
        <x:v>0</x:v>
      </x:c>
      <x:c r="BE49" s="289">
        <x:f t="shared" si="37"/>
        <x:v>-458.40012431606812</x:v>
      </x:c>
    </x:row>
    <x:row r="50" ht="15.75" customHeight="1">
      <x:c r="A50" s="21">
        <x:v>36</x:v>
      </x:c>
      <x:c r="B50" s="21">
        <x:f t="shared" si="19"/>
        <x:v>216</x:v>
      </x:c>
      <x:c r="C50" s="21">
        <x:f t="shared" si="0"/>
        <x:v>216</x:v>
      </x:c>
      <x:c r="D50" s="21">
        <x:f t="shared" si="20"/>
        <x:v>36</x:v>
      </x:c>
      <x:c r="E50" s="22" t="n">
        <x:f t="shared" ref="E50:H50" si="55">A50*PI()/180</x:f>
        <x:v>0.6283185307179586</x:v>
      </x:c>
      <x:c r="F50" s="22">
        <x:f t="shared" si="55"/>
        <x:v>3.7699111843077517</x:v>
      </x:c>
      <x:c r="G50" s="22">
        <x:f t="shared" si="55"/>
        <x:v>3.7699111843077517</x:v>
      </x:c>
      <x:c r="H50" s="22">
        <x:f t="shared" si="55"/>
        <x:v>0.62831853071795862</x:v>
      </x:c>
      <x:c r="I50" s="23"/>
      <x:c r="J50" s="23"/>
      <x:c r="K50" s="23"/>
      <x:c r="L50" s="249">
        <x:f t="shared" si="2"/>
        <x:v>803.81960329613935</x:v>
      </x:c>
      <x:c r="M50" s="249">
        <x:f t="shared" si="3"/>
        <x:v>-803.81960329613923</x:v>
      </x:c>
      <x:c r="N50" s="249">
        <x:f t="shared" si="4"/>
        <x:v>-803.81960329613923</x:v>
      </x:c>
      <x:c r="O50" s="249">
        <x:f t="shared" si="5"/>
        <x:v>803.81960329613935</x:v>
      </x:c>
      <x:c r="P50" s="249">
        <x:f t="shared" si="6"/>
        <x:v>3261.0271444838654</x:v>
      </x:c>
      <x:c r="Q50" s="249">
        <x:f t="shared" si="7"/>
        <x:v>-2797.8032959506309</x:v>
      </x:c>
      <x:c r="R50" s="249">
        <x:f t="shared" si="8"/>
        <x:v>-2797.8032959506309</x:v>
      </x:c>
      <x:c r="S50" s="249">
        <x:f t="shared" si="9"/>
        <x:v>3261.0271444838654</x:v>
      </x:c>
      <x:c r="T50" s="23"/>
      <x:c r="U50" s="23"/>
      <x:c r="V50" s="260">
        <x:f t="shared" si="22"/>
        <x:v>3320.4046785440814</x:v>
      </x:c>
      <x:c r="W50" s="260">
        <x:f t="shared" si="23"/>
        <x:v>2277.2247563296946</x:v>
      </x:c>
      <x:c r="X50" s="260">
        <x:f t="shared" si="24"/>
        <x:v>-2892.4416459131176</x:v>
      </x:c>
      <x:c r="Y50" s="260">
        <x:f t="shared" si="25"/>
        <x:v>-2705.1877889606585</x:v>
      </x:c>
      <x:c r="Z50" s="260">
        <x:f t="shared" si="26"/>
        <x:v>505.30858137016821</x:v>
      </x:c>
      <x:c r="AA50" s="260">
        <x:f t="shared" si="27"/>
        <x:v>-1813.3054476933939</x:v>
      </x:c>
      <x:c r="AB50" s="260">
        <x:f t="shared" si="28"/>
        <x:v>-328.0404890601036</x:v>
      </x:c>
      <x:c r="AC50" s="260">
        <x:f t="shared" si="29"/>
        <x:v>1990.5735400034587</x:v>
      </x:c>
      <x:c r="AD50" s="260"/>
      <x:c r="AE50" s="282">
        <x:f t="shared" si="39"/>
        <x:v>0</x:v>
      </x:c>
      <x:c r="AF50" s="282">
        <x:f t="shared" si="10"/>
        <x:v>354.53618462012946</x:v>
      </x:c>
      <x:c r="AJ50" s="272">
        <x:f t="shared" si="11"/>
        <x:v>-101.06171627403364</x:v>
      </x:c>
      <x:c r="AK50" s="272">
        <x:f t="shared" si="12"/>
        <x:v>181.33054476933941</x:v>
      </x:c>
      <x:c r="AL50" s="272">
        <x:f t="shared" si="13"/>
        <x:v>-32.804048906010358</x:v>
      </x:c>
      <x:c r="AM50" s="272">
        <x:f t="shared" si="14"/>
        <x:v>398.11470800069173</x:v>
      </x:c>
      <x:c r="AN50" s="272">
        <x:f t="shared" si="30"/>
        <x:v>664.08093570881636</x:v>
      </x:c>
      <x:c r="AO50" s="272">
        <x:f t="shared" si="31"/>
        <x:v>227.72247563296946</x:v>
      </x:c>
      <x:c r="AP50" s="272">
        <x:f t="shared" si="15"/>
        <x:v>289.24416459131174</x:v>
      </x:c>
      <x:c r="AQ50" s="272">
        <x:f t="shared" si="16"/>
        <x:v>541.03755779213168</x:v>
      </x:c>
      <x:c r="AR50" s="272"/>
      <x:c r="AS50" s="286">
        <x:f t="shared" si="32"/>
        <x:v>445.57948758998714</x:v>
      </x:c>
      <x:c r="AT50" s="286">
        <x:f t="shared" si="33"/>
        <x:v>1722.0851337252293</x:v>
      </x:c>
      <x:c r="AY50" s="279">
        <x:f t="shared" si="34"/>
        <x:v>-517.6967018375035</x:v>
      </x:c>
      <x:c r="AZ50" s="279">
        <x:f t="shared" si="35"/>
        <x:v>517.6967018375035</x:v>
      </x:c>
      <x:c r="BA50" s="279">
        <x:f t="shared" si="17"/>
        <x:v>-193.55886543685557</x:v>
      </x:c>
      <x:c r="BB50" s="279">
        <x:f t="shared" si="18"/>
        <x:v>-193.55886543685557</x:v>
      </x:c>
      <x:c r="BC50" s="279"/>
      <x:c r="BD50" s="289">
        <x:f t="shared" si="36"/>
        <x:v>0</x:v>
      </x:c>
      <x:c r="BE50" s="289">
        <x:f t="shared" si="37"/>
        <x:v>-387.11773087371114</x:v>
      </x:c>
    </x:row>
    <x:row r="51" ht="15.75" customHeight="1">
      <x:c r="A51" s="21">
        <x:v>38</x:v>
      </x:c>
      <x:c r="B51" s="21">
        <x:f t="shared" si="19"/>
        <x:v>218</x:v>
      </x:c>
      <x:c r="C51" s="21">
        <x:f t="shared" si="0"/>
        <x:v>218</x:v>
      </x:c>
      <x:c r="D51" s="21">
        <x:f t="shared" si="20"/>
        <x:v>38</x:v>
      </x:c>
      <x:c r="E51" s="22" t="n">
        <x:f t="shared" ref="E51:H51" si="56">A51*PI()/180</x:f>
        <x:v>0.6632251157578452</x:v>
      </x:c>
      <x:c r="F51" s="22">
        <x:f t="shared" si="56"/>
        <x:v>3.8048177693476379</x:v>
      </x:c>
      <x:c r="G51" s="22">
        <x:f t="shared" si="56"/>
        <x:v>3.8048177693476379</x:v>
      </x:c>
      <x:c r="H51" s="22">
        <x:f t="shared" si="56"/>
        <x:v>0.66322511575784515</x:v>
      </x:c>
      <x:c r="I51" s="23"/>
      <x:c r="J51" s="23"/>
      <x:c r="K51" s="23"/>
      <x:c r="L51" s="249">
        <x:f t="shared" si="2"/>
        <x:v>841.9414419311446</x:v>
      </x:c>
      <x:c r="M51" s="249">
        <x:f t="shared" si="3"/>
        <x:v>-841.94144193114414</x:v>
      </x:c>
      <x:c r="N51" s="249">
        <x:f t="shared" si="4"/>
        <x:v>-841.94144193114414</x:v>
      </x:c>
      <x:c r="O51" s="249">
        <x:f t="shared" si="5"/>
        <x:v>841.9414419311446</x:v>
      </x:c>
      <x:c r="P51" s="249">
        <x:f t="shared" si="6"/>
        <x:v>3132.0793724381065</x:v>
      </x:c>
      <x:c r="Q51" s="249">
        <x:f t="shared" si="7"/>
        <x:v>-2769.4326780360502</x:v>
      </x:c>
      <x:c r="R51" s="249">
        <x:f t="shared" si="8"/>
        <x:v>-2769.4326780360502</x:v>
      </x:c>
      <x:c r="S51" s="249">
        <x:f t="shared" si="9"/>
        <x:v>3132.0793724381065</x:v>
      </x:c>
      <x:c r="T51" s="23"/>
      <x:c r="U51" s="23"/>
      <x:c r="V51" s="260">
        <x:f t="shared" si="22"/>
        <x:v>3215.8610672449859</x:v>
      </x:c>
      <x:c r="W51" s="260">
        <x:f t="shared" si="23"/>
        <x:v>2236.4251270568038</x:v>
      </x:c>
      <x:c r="X51" s="260">
        <x:f t="shared" si="24"/>
        <x:v>-2880.8192087540501</x:v>
      </x:c>
      <x:c r="Y51" s="260">
        <x:f t="shared" si="25"/>
        <x:v>-2571.4669855477387</x:v>
      </x:c>
      <x:c r="Z51" s="260">
        <x:f t="shared" si="26"/>
        <x:v>420.74241891128645</x:v>
      </x:c>
      <x:c r="AA51" s="260">
        <x:f t="shared" si="27"/>
        <x:v>-1837.6684687081026</x:v>
      </x:c>
      <x:c r="AB51" s="260">
        <x:f t="shared" si="28"/>
        <x:v>-281.96353716165436</x:v>
      </x:c>
      <x:c r="AC51" s="260">
        <x:f t="shared" si="29"/>
        <x:v>1976.4473504577356</x:v>
      </x:c>
      <x:c r="AD51" s="260"/>
      <x:c r="AE51" s="282">
        <x:f t="shared" si="39"/>
        <x:v>0</x:v>
      </x:c>
      <x:c r="AF51" s="282">
        <x:f t="shared" si="10"/>
        <x:v>277.55776349926509</x:v>
      </x:c>
      <x:c r="AJ51" s="272">
        <x:f t="shared" si="11"/>
        <x:v>-84.148483782257301</x:v>
      </x:c>
      <x:c r="AK51" s="272">
        <x:f t="shared" si="12"/>
        <x:v>183.76684687081027</x:v>
      </x:c>
      <x:c r="AL51" s="272">
        <x:f t="shared" si="13"/>
        <x:v>-28.196353716165437</x:v>
      </x:c>
      <x:c r="AM51" s="272">
        <x:f t="shared" si="14"/>
        <x:v>395.28947009154717</x:v>
      </x:c>
      <x:c r="AN51" s="272">
        <x:f t="shared" si="30"/>
        <x:v>643.17221344899724</x:v>
      </x:c>
      <x:c r="AO51" s="272">
        <x:f t="shared" si="31"/>
        <x:v>223.64251270568039</x:v>
      </x:c>
      <x:c r="AP51" s="272">
        <x:f t="shared" si="15"/>
        <x:v>288.08192087540505</x:v>
      </x:c>
      <x:c r="AQ51" s="272">
        <x:f t="shared" si="16"/>
        <x:v>514.29339710954775</x:v>
      </x:c>
      <x:c r="AR51" s="272"/>
      <x:c r="AS51" s="286">
        <x:f t="shared" si="32"/>
        <x:v>466.71147946393472</x:v>
      </x:c>
      <x:c r="AT51" s="286">
        <x:f t="shared" si="33"/>
        <x:v>1669.1900441396306</x:v>
      </x:c>
      <x:c r="AY51" s="279">
        <x:f t="shared" si="34"/>
        <x:v>-529.93760260596127</x:v>
      </x:c>
      <x:c r="AZ51" s="279">
        <x:f t="shared" si="35"/>
        <x:v>529.93760260596127</x:v>
      </x:c>
      <x:c r="BA51" s="279">
        <x:f t="shared" si="17"/>
        <x:v>-156.9746693797378</x:v>
      </x:c>
      <x:c r="BB51" s="279">
        <x:f t="shared" si="18"/>
        <x:v>-156.9746693797378</x:v>
      </x:c>
      <x:c r="BC51" s="279"/>
      <x:c r="BD51" s="289">
        <x:f t="shared" si="36"/>
        <x:v>0</x:v>
      </x:c>
      <x:c r="BE51" s="289">
        <x:f t="shared" si="37"/>
        <x:v>-313.94933875947561</x:v>
      </x:c>
    </x:row>
    <x:row r="52" ht="15.75" customHeight="1">
      <x:c r="A52" s="21">
        <x:v>40</x:v>
      </x:c>
      <x:c r="B52" s="21">
        <x:f t="shared" si="19"/>
        <x:v>220</x:v>
      </x:c>
      <x:c r="C52" s="21">
        <x:f t="shared" si="0"/>
        <x:v>220</x:v>
      </x:c>
      <x:c r="D52" s="21">
        <x:f t="shared" si="20"/>
        <x:v>40</x:v>
      </x:c>
      <x:c r="E52" s="22" t="n">
        <x:f t="shared" ref="E52:H52" si="57">A52*PI()/180</x:f>
        <x:v>0.6981317007977318</x:v>
      </x:c>
      <x:c r="F52" s="22">
        <x:f t="shared" si="57"/>
        <x:v>3.839724354387525</x:v>
      </x:c>
      <x:c r="G52" s="22">
        <x:f t="shared" si="57"/>
        <x:v>3.839724354387525</x:v>
      </x:c>
      <x:c r="H52" s="22">
        <x:f t="shared" si="57"/>
        <x:v>0.69813170079773179</x:v>
      </x:c>
      <x:c r="I52" s="23"/>
      <x:c r="J52" s="23"/>
      <x:c r="K52" s="23"/>
      <x:c r="L52" s="249">
        <x:f t="shared" si="2"/>
        <x:v>879.03750461029392</x:v>
      </x:c>
      <x:c r="M52" s="249">
        <x:f t="shared" si="3"/>
        <x:v>-879.03750461029392</x:v>
      </x:c>
      <x:c r="N52" s="249">
        <x:f t="shared" si="4"/>
        <x:v>-879.03750461029392</x:v>
      </x:c>
      <x:c r="O52" s="249">
        <x:f t="shared" si="5"/>
        <x:v>879.03750461029392</x:v>
      </x:c>
      <x:c r="P52" s="249">
        <x:f t="shared" si="6"/>
        <x:v>2998.6531695837125</x:v>
      </x:c>
      <x:c r="Q52" s="249">
        <x:f t="shared" si="7"/>
        <x:v>-2738.3504075548431</x:v>
      </x:c>
      <x:c r="R52" s="249">
        <x:f t="shared" si="8"/>
        <x:v>-2738.3504075548431</x:v>
      </x:c>
      <x:c r="S52" s="249">
        <x:f t="shared" si="9"/>
        <x:v>2998.6531695837125</x:v>
      </x:c>
      <x:c r="T52" s="23"/>
      <x:c r="U52" s="23"/>
      <x:c r="V52" s="260">
        <x:f t="shared" si="22"/>
        <x:v>3106.7873779203996</x:v>
      </x:c>
      <x:c r="W52" s="260">
        <x:f t="shared" si="23"/>
        <x:v>2193.5128049419491</x:v>
      </x:c>
      <x:c r="X52" s="260">
        <x:f t="shared" si="24"/>
        <x:v>-2866.2989838257708</x:v>
      </x:c>
      <x:c r="Y52" s="260">
        <x:f t="shared" si="25"/>
        <x:v>-2434.0011990365779</x:v>
      </x:c>
      <x:c r="Z52" s="260">
        <x:f t="shared" si="26"/>
        <x:v>335.41012858950444</x:v>
      </x:c>
      <x:c r="AA52" s="260">
        <x:f t="shared" si="27"/>
        <x:v>-1860.0460918006763</x:v>
      </x:c>
      <x:c r="AB52" s="260">
        <x:f t="shared" si="28"/>
        <x:v>-235.79657416218356</x:v>
      </x:c>
      <x:c r="AC52" s="260">
        <x:f t="shared" si="29"/>
        <x:v>1959.6596462279972</x:v>
      </x:c>
      <x:c r="AD52" s="260"/>
      <x:c r="AE52" s="282">
        <x:f t="shared" si="39"/>
        <x:v>0</x:v>
      </x:c>
      <x:c r="AF52" s="282">
        <x:f t="shared" si="10"/>
        <x:v>199.22710885464176</x:v>
      </x:c>
      <x:c r="AJ52" s="272">
        <x:f t="shared" si="11"/>
        <x:v>-67.082025717900891</x:v>
      </x:c>
      <x:c r="AK52" s="272">
        <x:f t="shared" si="12"/>
        <x:v>186.00460918006763</x:v>
      </x:c>
      <x:c r="AL52" s="272">
        <x:f t="shared" si="13"/>
        <x:v>-23.579657416218357</x:v>
      </x:c>
      <x:c r="AM52" s="272">
        <x:f t="shared" si="14"/>
        <x:v>391.93192924559946</x:v>
      </x:c>
      <x:c r="AN52" s="272">
        <x:f t="shared" si="30"/>
        <x:v>621.35747558408002</x:v>
      </x:c>
      <x:c r="AO52" s="272">
        <x:f t="shared" si="31"/>
        <x:v>219.35128049419492</x:v>
      </x:c>
      <x:c r="AP52" s="272">
        <x:f t="shared" si="15"/>
        <x:v>286.6298983825771</x:v>
      </x:c>
      <x:c r="AQ52" s="272">
        <x:f t="shared" si="16"/>
        <x:v>486.80023980731562</x:v>
      </x:c>
      <x:c r="AR52" s="272"/>
      <x:c r="AS52" s="286">
        <x:f t="shared" si="32"/>
        <x:v>487.27485529154785</x:v>
      </x:c>
      <x:c r="AT52" s="286">
        <x:f t="shared" si="33"/>
        <x:v>1614.1388942681676</x:v>
      </x:c>
      <x:c r="AY52" s="279">
        <x:f t="shared" si="34"/>
        <x:v>-539.59670064366435</x:v>
      </x:c>
      <x:c r="AZ52" s="279">
        <x:f t="shared" si="35"/>
        <x:v>539.59670064366435</x:v>
      </x:c>
      <x:c r="BA52" s="279">
        <x:f t="shared" si="17"/>
        <x:v>-119.62570851244057</x:v>
      </x:c>
      <x:c r="BB52" s="279">
        <x:f t="shared" si="18"/>
        <x:v>-119.62570851244057</x:v>
      </x:c>
      <x:c r="BC52" s="279"/>
      <x:c r="BD52" s="289">
        <x:f t="shared" si="36"/>
        <x:v>0</x:v>
      </x:c>
      <x:c r="BE52" s="289">
        <x:f t="shared" si="37"/>
        <x:v>-239.25141702488114</x:v>
      </x:c>
    </x:row>
    <x:row r="53" ht="15.75" customHeight="1">
      <x:c r="A53" s="21">
        <x:v>42</x:v>
      </x:c>
      <x:c r="B53" s="21">
        <x:f t="shared" si="19"/>
        <x:v>222</x:v>
      </x:c>
      <x:c r="C53" s="21">
        <x:f t="shared" si="0"/>
        <x:v>222</x:v>
      </x:c>
      <x:c r="D53" s="21">
        <x:f t="shared" si="20"/>
        <x:v>42</x:v>
      </x:c>
      <x:c r="E53" s="22" t="n">
        <x:f t="shared" ref="E53:H53" si="58">A53*PI()/180</x:f>
        <x:v>0.7330382858376184</x:v>
      </x:c>
      <x:c r="F53" s="22">
        <x:f t="shared" si="58"/>
        <x:v>3.8746309394274117</x:v>
      </x:c>
      <x:c r="G53" s="22">
        <x:f t="shared" si="58"/>
        <x:v>3.8746309394274117</x:v>
      </x:c>
      <x:c r="H53" s="22">
        <x:f t="shared" si="58"/>
        <x:v>0.73303828583761843</x:v>
      </x:c>
      <x:c r="I53" s="23"/>
      <x:c r="J53" s="23"/>
      <x:c r="K53" s="23"/>
      <x:c r="L53" s="249">
        <x:f t="shared" si="2"/>
        <x:v>915.06259549542324</x:v>
      </x:c>
      <x:c r="M53" s="249">
        <x:f t="shared" si="3"/>
        <x:v>-915.06259549542324</x:v>
      </x:c>
      <x:c r="N53" s="249">
        <x:f t="shared" si="4"/>
        <x:v>-915.06259549542324</x:v>
      </x:c>
      <x:c r="O53" s="249">
        <x:f t="shared" si="5"/>
        <x:v>915.06259549542324</x:v>
      </x:c>
      <x:c r="P53" s="249">
        <x:f t="shared" si="6"/>
        <x:v>2861.0980547132435</x:v>
      </x:c>
      <x:c r="Q53" s="249">
        <x:f t="shared" si="7"/>
        <x:v>-2704.4073939486238</x:v>
      </x:c>
      <x:c r="R53" s="249">
        <x:f t="shared" si="8"/>
        <x:v>-2704.4073939486238</x:v>
      </x:c>
      <x:c r="S53" s="249">
        <x:f t="shared" si="9"/>
        <x:v>2861.0980547132435</x:v>
      </x:c>
      <x:c r="T53" s="23"/>
      <x:c r="U53" s="23"/>
      <x:c r="V53" s="260">
        <x:f t="shared" si="22"/>
        <x:v>2993.4892281305197</x:v>
      </x:c>
      <x:c r="W53" s="260">
        <x:f t="shared" si="23"/>
        <x:v>2148.3673439682257</x:v>
      </x:c>
      <x:c r="X53" s="260">
        <x:f t="shared" si="24"/>
        <x:v>-2848.7259337144183</x:v>
      </x:c>
      <x:c r="Y53" s="260">
        <x:f t="shared" si="25"/>
        <x:v>-2293.1306383843271</x:v>
      </x:c>
      <x:c r="Z53" s="260">
        <x:f t="shared" si="26"/>
        <x:v>249.48722096586926</x:v>
      </x:c>
      <x:c r="AA53" s="260">
        <x:f t="shared" si="27"/>
        <x:v>-1880.3395069746634</x:v>
      </x:c>
      <x:c r="AB53" s="260">
        <x:f t="shared" si="28"/>
        <x:v>-189.5243010849108</x:v>
      </x:c>
      <x:c r="AC53" s="260">
        <x:f t="shared" si="29"/>
        <x:v>1940.3024268556219</x:v>
      </x:c>
      <x:c r="AD53" s="260"/>
      <x:c r="AE53" s="282">
        <x:f t="shared" si="39"/>
        <x:v>0</x:v>
      </x:c>
      <x:c r="AF53" s="282">
        <x:f t="shared" si="10"/>
        <x:v>119.9258397619169</x:v>
      </x:c>
      <x:c r="AJ53" s="272">
        <x:f t="shared" si="11"/>
        <x:v>-49.897444193173854</x:v>
      </x:c>
      <x:c r="AK53" s="272">
        <x:f t="shared" si="12"/>
        <x:v>188.03395069746637</x:v>
      </x:c>
      <x:c r="AL53" s="272">
        <x:f t="shared" si="13"/>
        <x:v>-18.952430108491082</x:v>
      </x:c>
      <x:c r="AM53" s="272">
        <x:f t="shared" si="14"/>
        <x:v>388.0604853711244</x:v>
      </x:c>
      <x:c r="AN53" s="272">
        <x:f t="shared" si="30"/>
        <x:v>598.69784562610391</x:v>
      </x:c>
      <x:c r="AO53" s="272">
        <x:f t="shared" si="31"/>
        <x:v>214.83673439682258</x:v>
      </x:c>
      <x:c r="AP53" s="272">
        <x:f t="shared" si="15"/>
        <x:v>284.87259337144184</x:v>
      </x:c>
      <x:c r="AQ53" s="272">
        <x:f t="shared" si="16"/>
        <x:v>458.62612767686545</x:v>
      </x:c>
      <x:c r="AR53" s="272"/>
      <x:c r="AS53" s="286">
        <x:f t="shared" si="32"/>
        <x:v>507.24456176692581</x:v>
      </x:c>
      <x:c r="AT53" s="286">
        <x:f t="shared" si="33"/>
        <x:v>1557.0333010712338</x:v>
      </x:c>
      <x:c r="AY53" s="279">
        <x:f t="shared" si="34"/>
        <x:v>-546.62693779590211</x:v>
      </x:c>
      <x:c r="AZ53" s="279">
        <x:f t="shared" si="35"/>
        <x:v>546.62693779590211</x:v>
      </x:c>
      <x:c r="BA53" s="279">
        <x:f t="shared" si="17"/>
        <x:v>-81.693943218004875</x:v>
      </x:c>
      <x:c r="BB53" s="279">
        <x:f t="shared" si="18"/>
        <x:v>-81.693943218004875</x:v>
      </x:c>
      <x:c r="BC53" s="279"/>
      <x:c r="BD53" s="289">
        <x:f t="shared" si="36"/>
        <x:v>0</x:v>
      </x:c>
      <x:c r="BE53" s="289">
        <x:f t="shared" si="37"/>
        <x:v>-163.38788643600975</x:v>
      </x:c>
    </x:row>
    <x:row r="54" ht="15.75" customHeight="1">
      <x:c r="A54" s="21">
        <x:v>44</x:v>
      </x:c>
      <x:c r="B54" s="21">
        <x:f t="shared" si="19"/>
        <x:v>224</x:v>
      </x:c>
      <x:c r="C54" s="21">
        <x:f t="shared" si="0"/>
        <x:v>224</x:v>
      </x:c>
      <x:c r="D54" s="21">
        <x:f t="shared" si="20"/>
        <x:v>44</x:v>
      </x:c>
      <x:c r="E54" s="22" t="n">
        <x:f t="shared" ref="E54:H54" si="59">A54*PI()/180</x:f>
        <x:v>0.767944870877505</x:v>
      </x:c>
      <x:c r="F54" s="22">
        <x:f t="shared" si="59"/>
        <x:v>3.9095375244672983</x:v>
      </x:c>
      <x:c r="G54" s="22">
        <x:f t="shared" si="59"/>
        <x:v>3.9095375244672983</x:v>
      </x:c>
      <x:c r="H54" s="22">
        <x:f t="shared" si="59"/>
        <x:v>0.76794487087750496</x:v>
      </x:c>
      <x:c r="I54" s="23"/>
      <x:c r="J54" s="23"/>
      <x:c r="K54" s="23"/>
      <x:c r="L54" s="249">
        <x:f t="shared" si="2"/>
        <x:v>949.97282356252833</x:v>
      </x:c>
      <x:c r="M54" s="249">
        <x:f t="shared" si="3"/>
        <x:v>-949.97282356252845</x:v>
      </x:c>
      <x:c r="N54" s="249">
        <x:f t="shared" si="4"/>
        <x:v>-949.97282356252845</x:v>
      </x:c>
      <x:c r="O54" s="249">
        <x:f t="shared" si="5"/>
        <x:v>949.97282356252833</x:v>
      </x:c>
      <x:c r="P54" s="249">
        <x:f t="shared" si="6"/>
        <x:v>2719.7708937239972</x:v>
      </x:c>
      <x:c r="Q54" s="249">
        <x:f t="shared" si="7"/>
        <x:v>-2667.4557153723817</x:v>
      </x:c>
      <x:c r="R54" s="249">
        <x:f t="shared" si="8"/>
        <x:v>-2667.4557153723817</x:v>
      </x:c>
      <x:c r="S54" s="249">
        <x:f t="shared" si="9"/>
        <x:v>2719.7708937239972</x:v>
      </x:c>
      <x:c r="T54" s="23"/>
      <x:c r="U54" s="23"/>
      <x:c r="V54" s="260">
        <x:f t="shared" si="22"/>
        <x:v>2876.2795226059957</x:v>
      </x:c>
      <x:c r="W54" s="260">
        <x:f t="shared" si="23"/>
        <x:v>2100.8688785383315</x:v>
      </x:c>
      <x:c r="X54" s="260">
        <x:f t="shared" si="24"/>
        <x:v>-2827.9466000872603</x:v>
      </x:c>
      <x:c r="Y54" s="260">
        <x:f t="shared" si="25"/>
        <x:v>-2149.2018010570669</x:v>
      </x:c>
      <x:c r="Z54" s="260">
        <x:f t="shared" si="26"/>
        <x:v>163.15081272559144</x:v>
      </x:c>
      <x:c r="AA54" s="260">
        <x:f t="shared" si="27"/>
        <x:v>-1898.4515569719551</x:v>
      </x:c>
      <x:c r="AB54" s="260">
        <x:f t="shared" si="28"/>
        <x:v>-143.13066070920331</x:v>
      </x:c>
      <x:c r="AC54" s="260">
        <x:f t="shared" si="29"/>
        <x:v>1918.4717089883429</x:v>
      </x:c>
      <x:c r="AD54" s="260"/>
      <x:c r="AE54" s="282">
        <x:f t="shared" si="39"/>
        <x:v>0</x:v>
      </x:c>
      <x:c r="AF54" s="282">
        <x:f t="shared" si="10"/>
        <x:v>40.040304032776021</x:v>
      </x:c>
      <x:c r="AJ54" s="272">
        <x:f t="shared" si="11"/>
        <x:v>-32.630162545118289</x:v>
      </x:c>
      <x:c r="AK54" s="272">
        <x:f t="shared" si="12"/>
        <x:v>189.84515569719554</x:v>
      </x:c>
      <x:c r="AL54" s="272">
        <x:f t="shared" si="13"/>
        <x:v>-14.313066070920332</x:v>
      </x:c>
      <x:c r="AM54" s="272">
        <x:f t="shared" si="14"/>
        <x:v>383.69434179766859</x:v>
      </x:c>
      <x:c r="AN54" s="272">
        <x:f t="shared" si="30"/>
        <x:v>575.25590452119911</x:v>
      </x:c>
      <x:c r="AO54" s="272">
        <x:f t="shared" si="31"/>
        <x:v>210.08688785383316</x:v>
      </x:c>
      <x:c r="AP54" s="272">
        <x:f t="shared" si="15"/>
        <x:v>282.79466000872605</x:v>
      </x:c>
      <x:c r="AQ54" s="272">
        <x:f t="shared" si="16"/>
        <x:v>429.84036021141338</x:v>
      </x:c>
      <x:c r="AR54" s="272"/>
      <x:c r="AS54" s="286">
        <x:f t="shared" si="32"/>
        <x:v>526.59626887882553</x:v>
      </x:c>
      <x:c r="AT54" s="286">
        <x:f t="shared" si="33"/>
        <x:v>1497.9778125951718</x:v>
      </x:c>
      <x:c r="AY54" s="279">
        <x:f t="shared" si="34"/>
        <x:v>-550.99406345394596</x:v>
      </x:c>
      <x:c r="AZ54" s="279">
        <x:f t="shared" si="35"/>
        <x:v>550.99406345394596</x:v>
      </x:c>
      <x:c r="BA54" s="279">
        <x:f t="shared" si="17"/>
        <x:v>-43.364173244057525</x:v>
      </x:c>
      <x:c r="BB54" s="279">
        <x:f t="shared" si="18"/>
        <x:v>-43.364173244057525</x:v>
      </x:c>
      <x:c r="BC54" s="279"/>
      <x:c r="BD54" s="289">
        <x:f t="shared" si="36"/>
        <x:v>0</x:v>
      </x:c>
      <x:c r="BE54" s="289">
        <x:f t="shared" si="37"/>
        <x:v>-86.728346488115051</x:v>
      </x:c>
    </x:row>
    <x:row r="55" ht="15.75" customHeight="1">
      <x:c r="A55" s="21">
        <x:v>46</x:v>
      </x:c>
      <x:c r="B55" s="21">
        <x:f t="shared" si="19"/>
        <x:v>226</x:v>
      </x:c>
      <x:c r="C55" s="21">
        <x:f t="shared" si="0"/>
        <x:v>226</x:v>
      </x:c>
      <x:c r="D55" s="21">
        <x:f t="shared" si="20"/>
        <x:v>46</x:v>
      </x:c>
      <x:c r="E55" s="22" t="n">
        <x:f t="shared" ref="E55:H55" si="60">A55*PI()/180</x:f>
        <x:v>0.8028514559173915</x:v>
      </x:c>
      <x:c r="F55" s="22">
        <x:f t="shared" si="60"/>
        <x:v>3.9444441095071845</x:v>
      </x:c>
      <x:c r="G55" s="22">
        <x:f t="shared" si="60"/>
        <x:v>3.9444441095071845</x:v>
      </x:c>
      <x:c r="H55" s="22">
        <x:f t="shared" si="60"/>
        <x:v>0.80285145591739149</x:v>
      </x:c>
      <x:c r="I55" s="23"/>
      <x:c r="J55" s="23"/>
      <x:c r="K55" s="23"/>
      <x:c r="L55" s="249">
        <x:f t="shared" si="2"/>
        <x:v>983.72565607621823</x:v>
      </x:c>
      <x:c r="M55" s="249">
        <x:f t="shared" si="3"/>
        <x:v>-983.725656076218</x:v>
      </x:c>
      <x:c r="N55" s="249">
        <x:f t="shared" si="4"/>
        <x:v>-983.725656076218</x:v>
      </x:c>
      <x:c r="O55" s="249">
        <x:f t="shared" si="5"/>
        <x:v>983.72565607621823</x:v>
      </x:c>
      <x:c r="P55" s="249">
        <x:f t="shared" si="6"/>
        <x:v>2575.0345426973677</x:v>
      </x:c>
      <x:c r="Q55" s="249">
        <x:f t="shared" si="7"/>
        <x:v>-2627.3497210489832</x:v>
      </x:c>
      <x:c r="R55" s="249">
        <x:f t="shared" si="8"/>
        <x:v>-2627.3497210489832</x:v>
      </x:c>
      <x:c r="S55" s="249">
        <x:f t="shared" si="9"/>
        <x:v>2575.0345426973677</x:v>
      </x:c>
      <x:c r="T55" s="23"/>
      <x:c r="U55" s="23"/>
      <x:c r="V55" s="260">
        <x:f t="shared" si="22"/>
        <x:v>2755.4772200805064</x:v>
      </x:c>
      <x:c r="W55" s="260">
        <x:f t="shared" si="23"/>
        <x:v>2050.8991214535472</x:v>
      </x:c>
      <x:c r="X55" s="260">
        <x:f t="shared" si="24"/>
        <x:v>-2803.8101425992409</x:v>
      </x:c>
      <x:c r="Y55" s="260">
        <x:f t="shared" si="25"/>
        <x:v>-2002.5661989348121</x:v>
      </x:c>
      <x:c r="Z55" s="260">
        <x:f t="shared" si="26"/>
        <x:v>76.579058003042746</x:v>
      </x:c>
      <x:c r="AA55" s="260">
        <x:f t="shared" si="27"/>
        <x:v>-1914.2872085295412</x:v>
      </x:c>
      <x:c r="AB55" s="260">
        <x:f t="shared" si="28"/>
        <x:v>-96.599210019431098</x:v>
      </x:c>
      <x:c r="AC55" s="260">
        <x:f t="shared" si="29"/>
        <x:v>1894.2670565131534</x:v>
      </x:c>
      <x:c r="AD55" s="260"/>
      <x:c r="AE55" s="282">
        <x:f t="shared" si="39"/>
        <x:v>0</x:v>
      </x:c>
      <x:c r="AF55" s="282">
        <x:f t="shared" si="10"/>
        <x:v>-40.040304032776021</x:v>
      </x:c>
      <x:c r="AJ55" s="272">
        <x:f t="shared" si="11"/>
        <x:v>-15.31581160060855</x:v>
      </x:c>
      <x:c r="AK55" s="272">
        <x:f t="shared" si="12"/>
        <x:v>191.42872085295414</x:v>
      </x:c>
      <x:c r="AL55" s="272">
        <x:f t="shared" si="13"/>
        <x:v>-9.6599210019431112</x:v>
      </x:c>
      <x:c r="AM55" s="272">
        <x:f t="shared" si="14"/>
        <x:v>378.85341130263072</x:v>
      </x:c>
      <x:c r="AN55" s="272">
        <x:f t="shared" si="30"/>
        <x:v>551.09544401610128</x:v>
      </x:c>
      <x:c r="AO55" s="272">
        <x:f t="shared" si="31"/>
        <x:v>205.08991214535473</x:v>
      </x:c>
      <x:c r="AP55" s="272">
        <x:f t="shared" si="15"/>
        <x:v>280.38101425992409</x:v>
      </x:c>
      <x:c r="AQ55" s="272">
        <x:f t="shared" si="16"/>
        <x:v>400.51323978696246</x:v>
      </x:c>
      <x:c r="AR55" s="272"/>
      <x:c r="AS55" s="286">
        <x:f t="shared" si="32"/>
        <x:v>545.3063995530332</x:v>
      </x:c>
      <x:c r="AT55" s="286">
        <x:f t="shared" si="33"/>
        <x:v>1437.0796102083425</x:v>
      </x:c>
      <x:c r="AY55" s="279">
        <x:f t="shared" si="34"/>
        <x:v>-552.67680142057179</x:v>
      </x:c>
      <x:c r="AZ55" s="279">
        <x:f t="shared" si="35"/>
        <x:v>552.67680142057179</x:v>
      </x:c>
      <x:c r="BA55" s="279">
        <x:f t="shared" si="17"/>
        <x:v>-4.8231373770165806</x:v>
      </x:c>
      <x:c r="BB55" s="279">
        <x:f t="shared" si="18"/>
        <x:v>-4.8231373770165806</x:v>
      </x:c>
      <x:c r="BC55" s="279"/>
      <x:c r="BD55" s="289">
        <x:f t="shared" si="36"/>
        <x:v>0</x:v>
      </x:c>
      <x:c r="BE55" s="289">
        <x:f t="shared" si="37"/>
        <x:v>-9.6462747540331613</x:v>
      </x:c>
    </x:row>
    <x:row r="56" ht="15.75" customHeight="1">
      <x:c r="A56" s="21">
        <x:v>48</x:v>
      </x:c>
      <x:c r="B56" s="21">
        <x:f t="shared" si="19"/>
        <x:v>228</x:v>
      </x:c>
      <x:c r="C56" s="21">
        <x:f t="shared" si="0"/>
        <x:v>228</x:v>
      </x:c>
      <x:c r="D56" s="21">
        <x:f t="shared" si="20"/>
        <x:v>48</x:v>
      </x:c>
      <x:c r="E56" s="22" t="n">
        <x:f t="shared" ref="E56:H56" si="61">A56*PI()/180</x:f>
        <x:v>0.8377580409572781</x:v>
      </x:c>
      <x:c r="F56" s="22">
        <x:f t="shared" si="61"/>
        <x:v>3.9793506945470711</x:v>
      </x:c>
      <x:c r="G56" s="22">
        <x:f t="shared" si="61"/>
        <x:v>3.9793506945470711</x:v>
      </x:c>
      <x:c r="H56" s="22">
        <x:f t="shared" si="61"/>
        <x:v>0.83775804095727813</x:v>
      </x:c>
      <x:c r="I56" s="23"/>
      <x:c r="J56" s="23"/>
      <x:c r="K56" s="23"/>
      <x:c r="L56" s="249">
        <x:f t="shared" si="2"/>
        <x:v>1016.2799704093002</x:v>
      </x:c>
      <x:c r="M56" s="249">
        <x:f t="shared" si="3"/>
        <x:v>-1016.2799704093001</x:v>
      </x:c>
      <x:c r="N56" s="249">
        <x:f t="shared" si="4"/>
        <x:v>-1016.2799704093001</x:v>
      </x:c>
      <x:c r="O56" s="249">
        <x:f t="shared" si="5"/>
        <x:v>1016.2799704093002</x:v>
      </x:c>
      <x:c r="P56" s="249">
        <x:f t="shared" si="6"/>
        <x:v>2427.2564768860952</x:v>
      </x:c>
      <x:c r="Q56" s="249">
        <x:f t="shared" si="7"/>
        <x:v>-2583.9471376507149</x:v>
      </x:c>
      <x:c r="R56" s="249">
        <x:f t="shared" si="8"/>
        <x:v>-2583.9471376507149</x:v>
      </x:c>
      <x:c r="S56" s="249">
        <x:f t="shared" si="9"/>
        <x:v>2427.2564768860952</x:v>
      </x:c>
      <x:c r="T56" s="23"/>
      <x:c r="U56" s="23"/>
      <x:c r="V56" s="260">
        <x:f t="shared" si="22"/>
        <x:v>2631.4060864706412</x:v>
      </x:c>
      <x:c r="W56" s="260">
        <x:f t="shared" si="23"/>
        <x:v>1998.342366246497</x:v>
      </x:c>
      <x:c r="X56" s="260">
        <x:f t="shared" si="24"/>
        <x:v>-2776.1693808867426</x:v>
      </x:c>
      <x:c r="Y56" s="260">
        <x:f t="shared" si="25"/>
        <x:v>-1853.5790718303956</x:v>
      </x:c>
      <x:c r="Z56" s="260">
        <x:f t="shared" si="26"/>
        <x:v>-10.049424157162321</x:v>
      </x:c>
      <x:c r="AA56" s="260">
        <x:f t="shared" si="27"/>
        <x:v>-1927.7540236484533</x:v>
      </x:c>
      <x:c r="AB56" s="260">
        <x:f t="shared" si="28"/>
        <x:v>-49.913495723796359</x:v>
      </x:c>
      <x:c r="AC56" s="260">
        <x:f t="shared" si="29"/>
        <x:v>1867.7911037674949</x:v>
      </x:c>
      <x:c r="AD56" s="260"/>
      <x:c r="AE56" s="282">
        <x:f t="shared" si="39"/>
        <x:v>0</x:v>
      </x:c>
      <x:c r="AF56" s="282">
        <x:f t="shared" si="10"/>
        <x:v>-119.92583976191713</x:v>
      </x:c>
      <x:c r="AJ56" s="272">
        <x:f t="shared" si="11"/>
        <x:v>2.0098848314324642</x:v>
      </x:c>
      <x:c r="AK56" s="272">
        <x:f t="shared" si="12"/>
        <x:v>192.77540236484535</x:v>
      </x:c>
      <x:c r="AL56" s="272">
        <x:f t="shared" si="13"/>
        <x:v>-4.9913495723796366</x:v>
      </x:c>
      <x:c r="AM56" s="272">
        <x:f t="shared" si="14"/>
        <x:v>373.55822075349897</x:v>
      </x:c>
      <x:c r="AN56" s="272">
        <x:f t="shared" si="30"/>
        <x:v>526.28121729412828</x:v>
      </x:c>
      <x:c r="AO56" s="272">
        <x:f t="shared" si="31"/>
        <x:v>199.83423662464972</x:v>
      </x:c>
      <x:c r="AP56" s="272">
        <x:f t="shared" si="15"/>
        <x:v>277.61693808867426</x:v>
      </x:c>
      <x:c r="AQ56" s="272">
        <x:f t="shared" si="16"/>
        <x:v>370.71581436607914</x:v>
      </x:c>
      <x:c r="AR56" s="272"/>
      <x:c r="AS56" s="286">
        <x:f t="shared" si="32"/>
        <x:v>563.35215837739713</x:v>
      </x:c>
      <x:c r="AT56" s="286">
        <x:f t="shared" si="33"/>
        <x:v>1374.4482063735313</x:v>
      </x:c>
      <x:c r="AY56" s="279">
        <x:f t="shared" si="34"/>
        <x:v>-551.66695356555442</x:v>
      </x:c>
      <x:c r="AZ56" s="279">
        <x:f t="shared" si="35"/>
        <x:v>551.66695356555442</x:v>
      </x:c>
      <x:c r="BA56" s="279">
        <x:f t="shared" si="17"/>
        <x:v>33.741396330504628</x:v>
      </x:c>
      <x:c r="BB56" s="279">
        <x:f t="shared" si="18"/>
        <x:v>33.741396330504628</x:v>
      </x:c>
      <x:c r="BC56" s="279"/>
      <x:c r="BD56" s="289">
        <x:f t="shared" si="36"/>
        <x:v>0</x:v>
      </x:c>
      <x:c r="BE56" s="289">
        <x:f t="shared" si="37"/>
        <x:v>67.482792661009256</x:v>
      </x:c>
    </x:row>
    <x:row r="57" ht="15.75" customHeight="1">
      <x:c r="A57" s="21">
        <x:v>50</x:v>
      </x:c>
      <x:c r="B57" s="21">
        <x:f t="shared" si="19"/>
        <x:v>230</x:v>
      </x:c>
      <x:c r="C57" s="21">
        <x:f t="shared" si="0"/>
        <x:v>230</x:v>
      </x:c>
      <x:c r="D57" s="21">
        <x:f t="shared" si="20"/>
        <x:v>50</x:v>
      </x:c>
      <x:c r="E57" s="22" t="n">
        <x:f t="shared" ref="E57:H57" si="62">A57*PI()/180</x:f>
        <x:v>0.8726646259971648</x:v>
      </x:c>
      <x:c r="F57" s="22">
        <x:f t="shared" si="62"/>
        <x:v>4.0142572795869578</x:v>
      </x:c>
      <x:c r="G57" s="22">
        <x:f t="shared" si="62"/>
        <x:v>4.0142572795869578</x:v>
      </x:c>
      <x:c r="H57" s="22">
        <x:f t="shared" si="62"/>
        <x:v>0.87266462599716477</x:v>
      </x:c>
      <x:c r="I57" s="23"/>
      <x:c r="J57" s="23"/>
      <x:c r="K57" s="23"/>
      <x:c r="L57" s="249">
        <x:f t="shared" si="2"/>
        <x:v>1047.5961041443672</x:v>
      </x:c>
      <x:c r="M57" s="249">
        <x:f t="shared" si="3"/>
        <x:v>-1047.5961041443672</x:v>
      </x:c>
      <x:c r="N57" s="249">
        <x:f t="shared" si="4"/>
        <x:v>-1047.5961041443672</x:v>
      </x:c>
      <x:c r="O57" s="249">
        <x:f t="shared" si="5"/>
        <x:v>1047.5961041443672</x:v>
      </x:c>
      <x:c r="P57" s="249">
        <x:f t="shared" si="6"/>
        <x:v>2276.8074118054146</x:v>
      </x:c>
      <x:c r="Q57" s="249">
        <x:f t="shared" si="7"/>
        <x:v>-2537.1101738342836</x:v>
      </x:c>
      <x:c r="R57" s="249">
        <x:f t="shared" si="8"/>
        <x:v>-2537.1101738342836</x:v>
      </x:c>
      <x:c r="S57" s="249">
        <x:f t="shared" si="9"/>
        <x:v>2276.8074118054146</x:v>
      </x:c>
      <x:c r="T57" s="23"/>
      <x:c r="U57" s="23"/>
      <x:c r="V57" s="260">
        <x:f t="shared" si="22"/>
        <x:v>2504.3934401032816</x:v>
      </x:c>
      <x:c r="W57" s="260">
        <x:f t="shared" si="23"/>
        <x:v>1943.0864884653849</x:v>
      </x:c>
      <x:c r="X57" s="260">
        <x:f t="shared" si="24"/>
        <x:v>-2744.8818341979099</x:v>
      </x:c>
      <x:c r="Y57" s="260">
        <x:f t="shared" si="25"/>
        <x:v>-1702.5980943707566</x:v>
      </x:c>
      <x:c r="Z57" s="260">
        <x:f t="shared" si="26"/>
        <x:v>-96.556123773570562</x:v>
      </x:c>
      <x:c r="AA57" s="260">
        <x:f t="shared" si="27"/>
        <x:v>-1938.7626285688366</x:v>
      </x:c>
      <x:c r="AB57" s="260">
        <x:f t="shared" si="28"/>
        <x:v>-3.0574306537500888</x:v>
      </x:c>
      <x:c r="AC57" s="260">
        <x:f t="shared" si="29"/>
        <x:v>1839.1490741415159</x:v>
      </x:c>
      <x:c r="AD57" s="260"/>
      <x:c r="AE57" s="282">
        <x:f t="shared" si="39"/>
        <x:v>0</x:v>
      </x:c>
      <x:c r="AF57" s="282">
        <x:f t="shared" si="10"/>
        <x:v>-199.2271088546413</x:v>
      </x:c>
      <x:c r="AJ57" s="272">
        <x:f t="shared" si="11"/>
        <x:v>19.311224754714114</x:v>
      </x:c>
      <x:c r="AK57" s="272">
        <x:f t="shared" si="12"/>
        <x:v>193.87626285688367</x:v>
      </x:c>
      <x:c r="AL57" s="272">
        <x:f t="shared" si="13"/>
        <x:v>-0.30574306537500889</x:v>
      </x:c>
      <x:c r="AM57" s="272">
        <x:f t="shared" si="14"/>
        <x:v>367.8298148283032</x:v>
      </x:c>
      <x:c r="AN57" s="272">
        <x:f t="shared" si="30"/>
        <x:v>500.87868802065634</x:v>
      </x:c>
      <x:c r="AO57" s="272">
        <x:f t="shared" si="31"/>
        <x:v>194.30864884653852</x:v>
      </x:c>
      <x:c r="AP57" s="272">
        <x:f t="shared" si="15"/>
        <x:v>274.48818341979103</x:v>
      </x:c>
      <x:c r="AQ57" s="272">
        <x:f t="shared" si="16"/>
        <x:v>340.51961887415132</x:v>
      </x:c>
      <x:c r="AR57" s="272"/>
      <x:c r="AS57" s="286">
        <x:f t="shared" si="32"/>
        <x:v>580.71155937452602</x:v>
      </x:c>
      <x:c r="AT57" s="286">
        <x:f t="shared" si="33"/>
        <x:v>1310.1951391611371</x:v>
      </x:c>
      <x:c r="AY57" s="279">
        <x:f t="shared" si="34"/>
        <x:v>-547.96943976613386</x:v>
      </x:c>
      <x:c r="AZ57" s="279">
        <x:f t="shared" si="35"/>
        <x:v>547.96943976613386</x:v>
      </x:c>
      <x:c r="BA57" s="279">
        <x:f t="shared" si="17"/>
        <x:v>72.141545346777406</x:v>
      </x:c>
      <x:c r="BB57" s="279">
        <x:f t="shared" si="18"/>
        <x:v>72.141545346777406</x:v>
      </x:c>
      <x:c r="BC57" s="279"/>
      <x:c r="BD57" s="289">
        <x:f t="shared" si="36"/>
        <x:v>0</x:v>
      </x:c>
      <x:c r="BE57" s="289">
        <x:f t="shared" si="37"/>
        <x:v>144.28309069355481</x:v>
      </x:c>
    </x:row>
    <x:row r="58" ht="15.75" customHeight="1">
      <x:c r="A58" s="21">
        <x:v>52</x:v>
      </x:c>
      <x:c r="B58" s="21">
        <x:f t="shared" si="19"/>
        <x:v>232</x:v>
      </x:c>
      <x:c r="C58" s="21">
        <x:f t="shared" si="0"/>
        <x:v>232</x:v>
      </x:c>
      <x:c r="D58" s="21">
        <x:f t="shared" si="20"/>
        <x:v>52</x:v>
      </x:c>
      <x:c r="E58" s="22" t="n">
        <x:f t="shared" ref="E58:H58" si="63">A58*PI()/180</x:f>
        <x:v>0.9075712110370514</x:v>
      </x:c>
      <x:c r="F58" s="22">
        <x:f t="shared" si="63"/>
        <x:v>4.0491638646268449</x:v>
      </x:c>
      <x:c r="G58" s="22">
        <x:f t="shared" si="63"/>
        <x:v>4.0491638646268449</x:v>
      </x:c>
      <x:c r="H58" s="22">
        <x:f t="shared" si="63"/>
        <x:v>0.90757121103705141</x:v>
      </x:c>
      <x:c r="I58" s="23"/>
      <x:c r="J58" s="23"/>
      <x:c r="K58" s="23"/>
      <x:c r="L58" s="249">
        <x:f t="shared" si="2"/>
        <x:v>1077.6359033963438</x:v>
      </x:c>
      <x:c r="M58" s="249">
        <x:f t="shared" si="3"/>
        <x:v>-1077.6359033963438</x:v>
      </x:c>
      <x:c r="N58" s="249">
        <x:f t="shared" si="4"/>
        <x:v>-1077.6359033963438</x:v>
      </x:c>
      <x:c r="O58" s="249">
        <x:f t="shared" si="5"/>
        <x:v>1077.6359033963438</x:v>
      </x:c>
      <x:c r="P58" s="249">
        <x:f t="shared" si="6"/>
        <x:v>2124.059922644793</x:v>
      </x:c>
      <x:c r="Q58" s="249">
        <x:f t="shared" si="7"/>
        <x:v>-2486.7066170468493</x:v>
      </x:c>
      <x:c r="R58" s="249">
        <x:f t="shared" si="8"/>
        <x:v>-2486.7066170468493</x:v>
      </x:c>
      <x:c r="S58" s="249">
        <x:f t="shared" si="9"/>
        <x:v>2124.059922644793</x:v>
      </x:c>
      <x:c r="T58" s="23"/>
      <x:c r="U58" s="23"/>
      <x:c r="V58" s="260">
        <x:f t="shared" si="22"/>
        <x:v>2374.7688947105985</x:v>
      </x:c>
      <x:c r="W58" s="260">
        <x:f t="shared" si="23"/>
        <x:v>1885.0239404983995</x:v>
      </x:c>
      <x:c r="X58" s="260">
        <x:f t="shared" si="24"/>
        <x:v>-2709.8107532015338</x:v>
      </x:c>
      <x:c r="Y58" s="260">
        <x:f t="shared" si="25"/>
        <x:v>-1549.982082007464</x:v>
      </x:c>
      <x:c r="Z58" s="260">
        <x:f t="shared" si="26"/>
        <x:v>-182.76321290035571</x:v>
      </x:c>
      <x:c r="AA58" s="260">
        <x:f t="shared" si="27"/>
        <x:v>-1947.2271781436616</x:v>
      </x:c>
      <x:c r="AB58" s="260">
        <x:f t="shared" si="28"/>
        <x:v>43.984331150722937</x:v>
      </x:c>
      <x:c r="AC58" s="260">
        <x:f t="shared" si="29"/>
        <x:v>1808.4482963940288</x:v>
      </x:c>
      <x:c r="AD58" s="260"/>
      <x:c r="AE58" s="282">
        <x:f t="shared" si="39"/>
        <x:v>0</x:v>
      </x:c>
      <x:c r="AF58" s="282">
        <x:f t="shared" si="10"/>
        <x:v>-277.55776349926532</x:v>
      </x:c>
      <x:c r="AJ58" s="272">
        <x:f t="shared" si="11"/>
        <x:v>36.552642580071144</x:v>
      </x:c>
      <x:c r="AK58" s="272">
        <x:f t="shared" si="12"/>
        <x:v>194.72271781436618</x:v>
      </x:c>
      <x:c r="AL58" s="272">
        <x:f t="shared" si="13"/>
        <x:v>4.3984331150722937</x:v>
      </x:c>
      <x:c r="AM58" s="272">
        <x:f t="shared" si="14"/>
        <x:v>361.68965927880578</x:v>
      </x:c>
      <x:c r="AN58" s="272">
        <x:f t="shared" si="30"/>
        <x:v>474.9537789421197</x:v>
      </x:c>
      <x:c r="AO58" s="272">
        <x:f t="shared" si="31"/>
        <x:v>188.50239404983995</x:v>
      </x:c>
      <x:c r="AP58" s="272">
        <x:f t="shared" si="15"/>
        <x:v>270.98107532015337</x:v>
      </x:c>
      <x:c r="AQ58" s="272">
        <x:f t="shared" si="16"/>
        <x:v>309.99641640149281</x:v>
      </x:c>
      <x:c r="AR58" s="272"/>
      <x:c r="AS58" s="286">
        <x:f t="shared" si="32"/>
        <x:v>597.36345278831539</x:v>
      </x:c>
      <x:c r="AT58" s="286">
        <x:f t="shared" si="33"/>
        <x:v>1244.4336647136058</x:v>
      </x:c>
      <x:c r="AY58" s="279">
        <x:f t="shared" si="34"/>
        <x:v>-541.60227393786818</x:v>
      </x:c>
      <x:c r="AZ58" s="279">
        <x:f t="shared" si="35"/>
        <x:v>541.60227393786818</x:v>
      </x:c>
      <x:c r="BA58" s="279">
        <x:f t="shared" si="17"/>
        <x:v>110.19022800576346</x:v>
      </x:c>
      <x:c r="BB58" s="279">
        <x:f t="shared" si="18"/>
        <x:v>110.19022800576346</x:v>
      </x:c>
      <x:c r="BC58" s="279"/>
      <x:c r="BD58" s="289">
        <x:f t="shared" si="36"/>
        <x:v>0</x:v>
      </x:c>
      <x:c r="BE58" s="289">
        <x:f t="shared" si="37"/>
        <x:v>220.38045601152692</x:v>
      </x:c>
    </x:row>
    <x:row r="59" ht="15.75" customHeight="1">
      <x:c r="A59" s="21">
        <x:v>54</x:v>
      </x:c>
      <x:c r="B59" s="21">
        <x:f t="shared" si="19"/>
        <x:v>234</x:v>
      </x:c>
      <x:c r="C59" s="21">
        <x:f t="shared" si="0"/>
        <x:v>234</x:v>
      </x:c>
      <x:c r="D59" s="21">
        <x:f t="shared" si="20"/>
        <x:v>54</x:v>
      </x:c>
      <x:c r="E59" s="22" t="n">
        <x:f t="shared" ref="E59:H59" si="64">A59*PI()/180</x:f>
        <x:v>0.9424777960769379</x:v>
      </x:c>
      <x:c r="F59" s="22">
        <x:f t="shared" si="64"/>
        <x:v>4.0840704496667311</x:v>
      </x:c>
      <x:c r="G59" s="22">
        <x:f t="shared" si="64"/>
        <x:v>4.0840704496667311</x:v>
      </x:c>
      <x:c r="H59" s="22">
        <x:f t="shared" si="64"/>
        <x:v>0.94247779607693793</x:v>
      </x:c>
      <x:c r="I59" s="23"/>
      <x:c r="J59" s="23"/>
      <x:c r="K59" s="23"/>
      <x:c r="L59" s="249">
        <x:f t="shared" si="2"/>
        <x:v>1106.3627692971172</x:v>
      </x:c>
      <x:c r="M59" s="249">
        <x:f t="shared" si="3"/>
        <x:v>-1106.362769297117</x:v>
      </x:c>
      <x:c r="N59" s="249">
        <x:f t="shared" si="4"/>
        <x:v>-1106.362769297117</x:v>
      </x:c>
      <x:c r="O59" s="249">
        <x:f t="shared" si="5"/>
        <x:v>1106.3627692971172</x:v>
      </x:c>
      <x:c r="P59" s="249">
        <x:f t="shared" si="6"/>
        <x:v>1969.3870682079391</x:v>
      </x:c>
      <x:c r="Q59" s="249">
        <x:f t="shared" si="7"/>
        <x:v>-2432.6109167411742</x:v>
      </x:c>
      <x:c r="R59" s="249">
        <x:f t="shared" si="8"/>
        <x:v>-2432.6109167411742</x:v>
      </x:c>
      <x:c r="S59" s="249">
        <x:f t="shared" si="9"/>
        <x:v>1969.3870682079391</x:v>
      </x:c>
      <x:c r="T59" s="23"/>
      <x:c r="U59" s="23"/>
      <x:c r="V59" s="260">
        <x:f t="shared" si="22"/>
        <x:v>2242.8631059052914</x:v>
      </x:c>
      <x:c r="W59" s="260">
        <x:f t="shared" si="23"/>
        <x:v>1824.0527345451221</x:v>
      </x:c>
      <x:c r="X59" s="260">
        <x:f t="shared" si="24"/>
        <x:v>-2670.8261385362557</x:v>
      </x:c>
      <x:c r="Y59" s="260">
        <x:f t="shared" si="25"/>
        <x:v>-1396.0897019141576</x:v>
      </x:c>
      <x:c r="Z59" s="260">
        <x:f t="shared" si="26"/>
        <x:v>-268.4941151688779</x:v>
      </x:c>
      <x:c r="AA59" s="260">
        <x:f t="shared" si="27"/>
        <x:v>-1953.0658133134134</x:v>
      </x:c>
      <x:c r="AB59" s="260">
        <x:f t="shared" si="28"/>
        <x:v>91.226022858812712</x:v>
      </x:c>
      <x:c r="AC59" s="260">
        <x:f t="shared" si="29"/>
        <x:v>1775.7977210033487</x:v>
      </x:c>
      <x:c r="AD59" s="260"/>
      <x:c r="AE59" s="282">
        <x:f t="shared" si="39"/>
        <x:v>0</x:v>
      </x:c>
      <x:c r="AF59" s="282">
        <x:f t="shared" si="10"/>
        <x:v>-354.53618462012946</x:v>
      </x:c>
      <x:c r="AJ59" s="272">
        <x:f t="shared" si="11"/>
        <x:v>53.698823033775582</x:v>
      </x:c>
      <x:c r="AK59" s="272">
        <x:f t="shared" si="12"/>
        <x:v>195.30658133134136</x:v>
      </x:c>
      <x:c r="AL59" s="272">
        <x:f t="shared" si="13"/>
        <x:v>9.1226022858812712</x:v>
      </x:c>
      <x:c r="AM59" s="272">
        <x:f t="shared" si="14"/>
        <x:v>355.15954420066976</x:v>
      </x:c>
      <x:c r="AN59" s="272">
        <x:f t="shared" si="30"/>
        <x:v>448.57262118105831</x:v>
      </x:c>
      <x:c r="AO59" s="272">
        <x:f t="shared" si="31"/>
        <x:v>182.40527345451221</x:v>
      </x:c>
      <x:c r="AP59" s="272">
        <x:f t="shared" si="15"/>
        <x:v>267.08261385362556</x:v>
      </x:c>
      <x:c r="AQ59" s="272">
        <x:f t="shared" si="16"/>
        <x:v>279.2179403828315</x:v>
      </x:c>
      <x:c r="AR59" s="272"/>
      <x:c r="AS59" s="286">
        <x:f t="shared" si="32"/>
        <x:v>613.2875508516679</x:v>
      </x:c>
      <x:c r="AT59" s="286">
        <x:f t="shared" si="33"/>
        <x:v>1177.2784488720276</x:v>
      </x:c>
      <x:c r="AY59" s="279">
        <x:f t="shared" si="34"/>
        <x:v>-532.59647627264735</x:v>
      </x:c>
      <x:c r="AZ59" s="279">
        <x:f t="shared" si="35"/>
        <x:v>532.59647627264735</x:v>
      </x:c>
      <x:c r="BA59" s="279">
        <x:f t="shared" si="17"/>
        <x:v>147.70207495018843</x:v>
      </x:c>
      <x:c r="BB59" s="279">
        <x:f t="shared" si="18"/>
        <x:v>147.70207495018843</x:v>
      </x:c>
      <x:c r="BC59" s="279"/>
      <x:c r="BD59" s="289">
        <x:f t="shared" si="36"/>
        <x:v>0</x:v>
      </x:c>
      <x:c r="BE59" s="289">
        <x:f t="shared" si="37"/>
        <x:v>295.40414990037686</x:v>
      </x:c>
    </x:row>
    <x:row r="60" ht="15.75" customHeight="1">
      <x:c r="A60" s="21">
        <x:v>56</x:v>
      </x:c>
      <x:c r="B60" s="21">
        <x:f t="shared" si="19"/>
        <x:v>236</x:v>
      </x:c>
      <x:c r="C60" s="21">
        <x:f t="shared" si="0"/>
        <x:v>236</x:v>
      </x:c>
      <x:c r="D60" s="21">
        <x:f t="shared" si="20"/>
        <x:v>56</x:v>
      </x:c>
      <x:c r="E60" s="22" t="n">
        <x:f t="shared" ref="E60:H60" si="65">A60*PI()/180</x:f>
        <x:v>0.9773843811168246</x:v>
      </x:c>
      <x:c r="F60" s="22">
        <x:f t="shared" si="65"/>
        <x:v>4.1189770347066172</x:v>
      </x:c>
      <x:c r="G60" s="22">
        <x:f t="shared" si="65"/>
        <x:v>4.1189770347066172</x:v>
      </x:c>
      <x:c r="H60" s="22">
        <x:f t="shared" si="65"/>
        <x:v>0.97738438111682457</x:v>
      </x:c>
      <x:c r="I60" s="23"/>
      <x:c r="J60" s="23"/>
      <x:c r="K60" s="23"/>
      <x:c r="L60" s="249">
        <x:f t="shared" si="2"/>
        <x:v>1133.7417025856223</x:v>
      </x:c>
      <x:c r="M60" s="249">
        <x:f t="shared" si="3"/>
        <x:v>-1133.7417025856219</x:v>
      </x:c>
      <x:c r="N60" s="249">
        <x:f t="shared" si="4"/>
        <x:v>-1133.7417025856219</x:v>
      </x:c>
      <x:c r="O60" s="249">
        <x:f t="shared" si="5"/>
        <x:v>1133.7417025856223</x:v>
      </x:c>
      <x:c r="P60" s="249">
        <x:f t="shared" si="6"/>
        <x:v>1813.1610255501364</x:v>
      </x:c>
      <x:c r="Q60" s="249">
        <x:f t="shared" si="7"/>
        <x:v>-2374.7052481875949</x:v>
      </x:c>
      <x:c r="R60" s="249">
        <x:f t="shared" si="8"/>
        <x:v>-2374.7052481875949</x:v>
      </x:c>
      <x:c r="S60" s="249">
        <x:f t="shared" si="9"/>
        <x:v>1813.1610255501364</x:v>
      </x:c>
      <x:c r="T60" s="23"/>
      <x:c r="U60" s="23"/>
      <x:c r="V60" s="260">
        <x:f t="shared" si="22"/>
        <x:v>2109.0065268138519</x:v>
      </x:c>
      <x:c r="W60" s="260">
        <x:f t="shared" si="23"/>
        <x:v>1760.0774083867477</x:v>
      </x:c>
      <x:c r="X60" s="260">
        <x:f t="shared" si="24"/>
        <x:v>-2627.8057407085612</x:v>
      </x:c>
      <x:c r="Y60" s="260">
        <x:f t="shared" si="25"/>
        <x:v>-1241.2781944920384</x:v>
      </x:c>
      <x:c r="Z60" s="260">
        <x:f t="shared" si="26"/>
        <x:v>-353.57406948522259</x:v>
      </x:c>
      <x:c r="AA60" s="260">
        <x:f t="shared" si="27"/>
        <x:v>-1956.2011094051759</x:v>
      </x:c>
      <x:c r="AB60" s="260">
        <x:f t="shared" si="28"/>
        <x:v>138.68039894153333</x:v>
      </x:c>
      <x:c r="AC60" s="260">
        <x:f t="shared" si="29"/>
        <x:v>1741.3074388614878</x:v>
      </x:c>
      <x:c r="AD60" s="260"/>
      <x:c r="AE60" s="282">
        <x:f t="shared" si="39"/>
        <x:v>0</x:v>
      </x:c>
      <x:c r="AF60" s="282">
        <x:f t="shared" si="10"/>
        <x:v>-429.78734108737717</x:v>
      </x:c>
      <x:c r="AJ60" s="272">
        <x:f t="shared" si="11"/>
        <x:v>70.714813897044522</x:v>
      </x:c>
      <x:c r="AK60" s="272">
        <x:f t="shared" si="12"/>
        <x:v>195.62011094051761</x:v>
      </x:c>
      <x:c r="AL60" s="272">
        <x:f t="shared" si="13"/>
        <x:v>13.868039894153334</x:v>
      </x:c>
      <x:c r="AM60" s="272">
        <x:f t="shared" si="14"/>
        <x:v>348.26148777229758</x:v>
      </x:c>
      <x:c r="AN60" s="272">
        <x:f t="shared" si="30"/>
        <x:v>421.80130536277039</x:v>
      </x:c>
      <x:c r="AO60" s="272">
        <x:f t="shared" si="31"/>
        <x:v>176.00774083867478</x:v>
      </x:c>
      <x:c r="AP60" s="272">
        <x:f t="shared" si="15"/>
        <x:v>262.78057407085612</x:v>
      </x:c>
      <x:c r="AQ60" s="272">
        <x:f t="shared" si="16"/>
        <x:v>248.25563889840771</x:v>
      </x:c>
      <x:c r="AR60" s="272"/>
      <x:c r="AS60" s="286">
        <x:f t="shared" si="32"/>
        <x:v>628.46445250401302</x:v>
      </x:c>
      <x:c r="AT60" s="286">
        <x:f t="shared" si="33"/>
        <x:v>1108.8452591707091</x:v>
      </x:c>
      <x:c r="AY60" s="279">
        <x:f t="shared" si="34"/>
        <x:v>-520.99592211143681</x:v>
      </x:c>
      <x:c r="AZ60" s="279">
        <x:f t="shared" si="35"/>
        <x:v>520.99592211143681</x:v>
      </x:c>
      <x:c r="BA60" s="279">
        <x:f t="shared" si="17"/>
        <x:v>184.49433223241672</x:v>
      </x:c>
      <x:c r="BB60" s="279">
        <x:f t="shared" si="18"/>
        <x:v>184.49433223241672</x:v>
      </x:c>
      <x:c r="BC60" s="279"/>
      <x:c r="BD60" s="289">
        <x:f t="shared" si="36"/>
        <x:v>0</x:v>
      </x:c>
      <x:c r="BE60" s="289">
        <x:f t="shared" si="37"/>
        <x:v>368.98866446483345</x:v>
      </x:c>
    </x:row>
    <x:row r="61" ht="15.75" customHeight="1">
      <x:c r="A61" s="21">
        <x:v>58</x:v>
      </x:c>
      <x:c r="B61" s="21">
        <x:f t="shared" si="19"/>
        <x:v>238</x:v>
      </x:c>
      <x:c r="C61" s="21">
        <x:f t="shared" si="0"/>
        <x:v>238</x:v>
      </x:c>
      <x:c r="D61" s="21">
        <x:f t="shared" si="20"/>
        <x:v>58</x:v>
      </x:c>
      <x:c r="E61" s="22" t="n">
        <x:f t="shared" ref="E61:H61" si="66">A61*PI()/180</x:f>
        <x:v>1.0122909661567112</x:v>
      </x:c>
      <x:c r="F61" s="22">
        <x:f t="shared" si="66"/>
        <x:v>4.1538836197465043</x:v>
      </x:c>
      <x:c r="G61" s="22">
        <x:f t="shared" si="66"/>
        <x:v>4.1538836197465043</x:v>
      </x:c>
      <x:c r="H61" s="22">
        <x:f t="shared" si="66"/>
        <x:v>1.0122909661567112</x:v>
      </x:c>
      <x:c r="I61" s="23"/>
      <x:c r="J61" s="23"/>
      <x:c r="K61" s="23"/>
      <x:c r="L61" s="249">
        <x:f t="shared" si="2"/>
        <x:v>1159.7393462490481</x:v>
      </x:c>
      <x:c r="M61" s="249">
        <x:f t="shared" si="3"/>
        <x:v>-1159.7393462490481</x:v>
      </x:c>
      <x:c r="N61" s="249">
        <x:f t="shared" si="4"/>
        <x:v>-1159.7393462490481</x:v>
      </x:c>
      <x:c r="O61" s="249">
        <x:f t="shared" si="5"/>
        <x:v>1159.7393462490481</x:v>
      </x:c>
      <x:c r="P61" s="249">
        <x:f t="shared" si="6"/>
        <x:v>1655.7517414139631</x:v>
      </x:c>
      <x:c r="Q61" s="249">
        <x:f t="shared" si="7"/>
        <x:v>-2312.8805511491823</x:v>
      </x:c>
      <x:c r="R61" s="249">
        <x:f t="shared" si="8"/>
        <x:v>-2312.8805511491823</x:v>
      </x:c>
      <x:c r="S61" s="249">
        <x:f t="shared" si="9"/>
        <x:v>1655.7517414139631</x:v>
      </x:c>
      <x:c r="T61" s="23"/>
      <x:c r="U61" s="23"/>
      <x:c r="V61" s="260">
        <x:f t="shared" si="22"/>
        <x:v>1973.5281784837123</x:v>
      </x:c>
      <x:c r="W61" s="260">
        <x:f t="shared" si="23"/>
        <x:v>1693.0099686787225</x:v>
      </x:c>
      <x:c r="X61" s="260">
        <x:f t="shared" si="24"/>
        <x:v>-2580.6360360215849</x:v>
      </x:c>
      <x:c r="Y61" s="260">
        <x:f t="shared" si="25"/>
        <x:v>-1085.9021111408499</x:v>
      </x:c>
      <x:c r="Z61" s="260">
        <x:f t="shared" si="26"/>
        <x:v>-437.83068549874577</x:v>
      </x:c>
      <x:c r="AA61" s="260">
        <x:f t="shared" si="27"/>
        <x:v>-1956.5605130117456</x:v>
      </x:c>
      <x:c r="AB61" s="260">
        <x:f t="shared" si="28"/>
        <x:v>186.35837708328597</x:v>
      </x:c>
      <x:c r="AC61" s="260">
        <x:f t="shared" si="29"/>
        <x:v>1705.0882045962858</x:v>
      </x:c>
      <x:c r="AD61" s="260"/>
      <x:c r="AE61" s="282">
        <x:f t="shared" si="39"/>
        <x:v>0</x:v>
      </x:c>
      <x:c r="AF61" s="282">
        <x:f t="shared" si="10"/>
        <x:v>-502.94461683091959</x:v>
      </x:c>
      <x:c r="AJ61" s="272">
        <x:f t="shared" si="11"/>
        <x:v>87.566137099749156</x:v>
      </x:c>
      <x:c r="AK61" s="272">
        <x:f t="shared" si="12"/>
        <x:v>195.65605130117456</x:v>
      </x:c>
      <x:c r="AL61" s="272">
        <x:f t="shared" si="13"/>
        <x:v>18.635837708328598</x:v>
      </x:c>
      <x:c r="AM61" s="272">
        <x:f t="shared" si="14"/>
        <x:v>341.01764091925719</x:v>
      </x:c>
      <x:c r="AN61" s="272">
        <x:f t="shared" si="30"/>
        <x:v>394.70563569674249</x:v>
      </x:c>
      <x:c r="AO61" s="272">
        <x:f t="shared" si="31"/>
        <x:v>169.30099686787227</x:v>
      </x:c>
      <x:c r="AP61" s="272">
        <x:f t="shared" si="15"/>
        <x:v>258.06360360215848</x:v>
      </x:c>
      <x:c r="AQ61" s="272">
        <x:f t="shared" si="16"/>
        <x:v>217.18042222816999</x:v>
      </x:c>
      <x:c r="AR61" s="272"/>
      <x:c r="AS61" s="286">
        <x:f t="shared" si="32"/>
        <x:v>642.8756670285095</x:v>
      </x:c>
      <x:c r="AT61" s="286">
        <x:f t="shared" si="33"/>
        <x:v>1039.2506583949432</x:v>
      </x:c>
      <x:c r="AY61" s="279">
        <x:f t="shared" si="34"/>
        <x:v>-506.85712818802631</x:v>
      </x:c>
      <x:c r="AZ61" s="279">
        <x:f t="shared" si="35"/>
        <x:v>506.85712818802631</x:v>
      </x:c>
      <x:c r="BA61" s="279">
        <x:f t="shared" si="17"/>
        <x:v>220.38775167331411</x:v>
      </x:c>
      <x:c r="BB61" s="279">
        <x:f t="shared" si="18"/>
        <x:v>220.38775167331411</x:v>
      </x:c>
      <x:c r="BC61" s="279"/>
      <x:c r="BD61" s="289">
        <x:f t="shared" si="36"/>
        <x:v>0</x:v>
      </x:c>
      <x:c r="BE61" s="289">
        <x:f t="shared" si="37"/>
        <x:v>440.77550334662823</x:v>
      </x:c>
    </x:row>
    <x:row r="62" ht="15.75" customHeight="1">
      <x:c r="A62" s="21">
        <x:v>60</x:v>
      </x:c>
      <x:c r="B62" s="21">
        <x:f t="shared" si="19"/>
        <x:v>240</x:v>
      </x:c>
      <x:c r="C62" s="21">
        <x:f t="shared" si="0"/>
        <x:v>240</x:v>
      </x:c>
      <x:c r="D62" s="21">
        <x:f t="shared" si="20"/>
        <x:v>60</x:v>
      </x:c>
      <x:c r="E62" s="22" t="n">
        <x:f t="shared" ref="E62:H62" si="67">A62*PI()/180</x:f>
        <x:v>1.0471975511965976</x:v>
      </x:c>
      <x:c r="F62" s="22">
        <x:f t="shared" si="67"/>
        <x:v>4.1887902047863905</x:v>
      </x:c>
      <x:c r="G62" s="22">
        <x:f t="shared" si="67"/>
        <x:v>4.1887902047863905</x:v>
      </x:c>
      <x:c r="H62" s="22">
        <x:f t="shared" si="67"/>
        <x:v>1.0471975511965976</x:v>
      </x:c>
      <x:c r="I62" s="23"/>
      <x:c r="J62" s="23"/>
      <x:c r="K62" s="23"/>
      <x:c r="L62" s="249">
        <x:f t="shared" si="2"/>
        <x:v>1184.3240261632209</x:v>
      </x:c>
      <x:c r="M62" s="249">
        <x:f t="shared" si="3"/>
        <x:v>-1184.3240261632207</x:v>
      </x:c>
      <x:c r="N62" s="249">
        <x:f t="shared" si="4"/>
        <x:v>-1184.3240261632207</x:v>
      </x:c>
      <x:c r="O62" s="249">
        <x:f t="shared" si="5"/>
        <x:v>1184.3240261632209</x:v>
      </x:c>
      <x:c r="P62" s="249">
        <x:f t="shared" si="6"/>
        <x:v>1497.525606467354</x:v>
      </x:c>
      <x:c r="Q62" s="249">
        <x:f t="shared" si="7"/>
        <x:v>-2247.0375377936616</x:v>
      </x:c>
      <x:c r="R62" s="249">
        <x:f t="shared" si="8"/>
        <x:v>-2247.0375377936616</x:v>
      </x:c>
      <x:c r="S62" s="249">
        <x:f t="shared" si="9"/>
        <x:v>1497.525606467354</x:v>
      </x:c>
      <x:c r="T62" s="23"/>
      <x:c r="U62" s="23"/>
      <x:c r="V62" s="260">
        <x:f t="shared" si="22"/>
        <x:v>1836.7544405913241</x:v>
      </x:c>
      <x:c r="W62" s="260">
        <x:f t="shared" si="23"/>
        <x:v>1622.7708065875372</x:v>
      </x:c>
      <x:c r="X62" s="260">
        <x:f t="shared" si="24"/>
        <x:v>-2529.2131733167048</x:v>
      </x:c>
      <x:c r="Y62" s="260">
        <x:f t="shared" si="25"/>
        <x:v>-930.31207386215647</x:v>
      </x:c>
      <x:c r="Z62" s="260">
        <x:f t="shared" si="26"/>
        <x:v>-521.09448849602165</x:v>
      </x:c>
      <x:c r="AA62" s="260">
        <x:f t="shared" si="27"/>
        <x:v>-1954.0767652496397</x:v>
      </x:c>
      <x:c r="AB62" s="260">
        <x:f t="shared" si="28"/>
        <x:v>234.26869001748253</x:v>
      </x:c>
      <x:c r="AC62" s="260">
        <x:f t="shared" si="29"/>
        <x:v>1667.250966771101</x:v>
      </x:c>
      <x:c r="AD62" s="260"/>
      <x:c r="AE62" s="282">
        <x:f t="shared" si="39"/>
        <x:v>0</x:v>
      </x:c>
      <x:c r="AF62" s="282">
        <x:f t="shared" si="10"/>
        <x:v>-573.6515969570778</x:v>
      </x:c>
      <x:c r="AJ62" s="272">
        <x:f t="shared" si="11"/>
        <x:v>104.21889769920433</x:v>
      </x:c>
      <x:c r="AK62" s="272">
        <x:f t="shared" si="12"/>
        <x:v>195.40767652496399</x:v>
      </x:c>
      <x:c r="AL62" s="272">
        <x:f t="shared" si="13"/>
        <x:v>23.426869001748255</x:v>
      </x:c>
      <x:c r="AM62" s="272">
        <x:f t="shared" si="14"/>
        <x:v>333.45019335422023</x:v>
      </x:c>
      <x:c r="AN62" s="272">
        <x:f t="shared" si="30"/>
        <x:v>367.35088811826483</x:v>
      </x:c>
      <x:c r="AO62" s="272">
        <x:f t="shared" si="31"/>
        <x:v>162.27708065875373</x:v>
      </x:c>
      <x:c r="AP62" s="272">
        <x:f t="shared" si="15"/>
        <x:v>252.92131733167048</x:v>
      </x:c>
      <x:c r="AQ62" s="272">
        <x:f t="shared" si="16"/>
        <x:v>186.06241477243131</x:v>
      </x:c>
      <x:c r="AR62" s="272"/>
      <x:c r="AS62" s="286">
        <x:f t="shared" si="32"/>
        <x:v>656.5036365801368</x:v>
      </x:c>
      <x:c r="AT62" s="286">
        <x:f t="shared" si="33"/>
        <x:v>968.61170088112044</x:v>
      </x:c>
      <x:c r="AY62" s="279">
        <x:f t="shared" si="34"/>
        <x:v>-490.24897728518408</x:v>
      </x:c>
      <x:c r="AZ62" s="279">
        <x:f t="shared" si="35"/>
        <x:v>490.24897728518408</x:v>
      </x:c>
      <x:c r="BA62" s="279">
        <x:f t="shared" si="17"/>
        <x:v>255.20746414135846</x:v>
      </x:c>
      <x:c r="BB62" s="279">
        <x:f t="shared" si="18"/>
        <x:v>255.20746414135846</x:v>
      </x:c>
      <x:c r="BC62" s="279"/>
      <x:c r="BD62" s="289">
        <x:f t="shared" si="36"/>
        <x:v>0</x:v>
      </x:c>
      <x:c r="BE62" s="289">
        <x:f t="shared" si="37"/>
        <x:v>510.41492828271691</x:v>
      </x:c>
    </x:row>
    <x:row r="63" ht="15.75" customHeight="1">
      <x:c r="A63" s="21">
        <x:v>62</x:v>
      </x:c>
      <x:c r="B63" s="21">
        <x:f t="shared" si="19"/>
        <x:v>242</x:v>
      </x:c>
      <x:c r="C63" s="21">
        <x:f t="shared" si="0"/>
        <x:v>242</x:v>
      </x:c>
      <x:c r="D63" s="21">
        <x:f t="shared" si="20"/>
        <x:v>62</x:v>
      </x:c>
      <x:c r="E63" s="22" t="n">
        <x:f t="shared" ref="E63:H63" si="68">A63*PI()/180</x:f>
        <x:v>1.0821041362364843</x:v>
      </x:c>
      <x:c r="F63" s="22">
        <x:f t="shared" si="68"/>
        <x:v>4.2236967898262776</x:v>
      </x:c>
      <x:c r="G63" s="22">
        <x:f t="shared" si="68"/>
        <x:v>4.2236967898262776</x:v>
      </x:c>
      <x:c r="H63" s="22">
        <x:f t="shared" si="68"/>
        <x:v>1.0821041362364843</x:v>
      </x:c>
      <x:c r="I63" s="23"/>
      <x:c r="J63" s="23"/>
      <x:c r="K63" s="23"/>
      <x:c r="L63" s="249">
        <x:f t="shared" si="2"/>
        <x:v>1207.465789682645</x:v>
      </x:c>
      <x:c r="M63" s="249">
        <x:f t="shared" si="3"/>
        <x:v>-1207.4657896826452</x:v>
      </x:c>
      <x:c r="N63" s="249">
        <x:f t="shared" si="4"/>
        <x:v>-1207.4657896826452</x:v>
      </x:c>
      <x:c r="O63" s="249">
        <x:f t="shared" si="5"/>
        <x:v>1207.465789682645</x:v>
      </x:c>
      <x:c r="P63" s="249">
        <x:f t="shared" si="6"/>
        <x:v>1338.8441582223429</x:v>
      </x:c>
      <x:c r="Q63" s="249">
        <x:f t="shared" si="7"/>
        <x:v>-2177.0876643509919</x:v>
      </x:c>
      <x:c r="R63" s="249">
        <x:f t="shared" si="8"/>
        <x:v>-2177.0876643509919</x:v>
      </x:c>
      <x:c r="S63" s="249">
        <x:f t="shared" si="9"/>
        <x:v>1338.8441582223429</x:v>
      </x:c>
      <x:c r="T63" s="23"/>
      <x:c r="U63" s="23"/>
      <x:c r="V63" s="260">
        <x:f t="shared" si="22"/>
        <x:v>1699.0078678631037</x:v>
      </x:c>
      <x:c r="W63" s="260">
        <x:f t="shared" si="23"/>
        <x:v>1549.2895807175053</x:v>
      </x:c>
      <x:c r="X63" s="260">
        <x:f t="shared" si="24"/>
        <x:v>-2473.4438864358617</x:v>
      </x:c>
      <x:c r="Y63" s="260">
        <x:f t="shared" si="25"/>
        <x:v>-774.853562144747</x:v>
      </x:c>
      <x:c r="Z63" s="260">
        <x:f t="shared" si="26"/>
        <x:v>-603.19945142489826</x:v>
      </x:c>
      <x:c r="AA63" s="260">
        <x:f t="shared" si="27"/>
        <x:v>-1948.6883092489084</x:v>
      </x:c>
      <x:c r="AB63" s="260">
        <x:f t="shared" si="28"/>
        <x:v>282.41754934183984</x:v>
      </x:c>
      <x:c r="AC63" s="260">
        <x:f t="shared" si="29"/>
        <x:v>1627.9064071658495</x:v>
      </x:c>
      <x:c r="AD63" s="260"/>
      <x:c r="AE63" s="282">
        <x:f t="shared" si="39"/>
        <x:v>0</x:v>
      </x:c>
      <x:c r="AF63" s="282">
        <x:f t="shared" si="10"/>
        <x:v>-641.56380416611728</x:v>
      </x:c>
      <x:c r="AJ63" s="272">
        <x:f t="shared" si="11"/>
        <x:v>120.63989028497966</x:v>
      </x:c>
      <x:c r="AK63" s="272">
        <x:f t="shared" si="12"/>
        <x:v>194.86883092489086</x:v>
      </x:c>
      <x:c r="AL63" s="272">
        <x:f t="shared" si="13"/>
        <x:v>28.241754934183987</x:v>
      </x:c>
      <x:c r="AM63" s="272">
        <x:f t="shared" si="14"/>
        <x:v>325.58128143316992</x:v>
      </x:c>
      <x:c r="AN63" s="272">
        <x:f t="shared" si="30"/>
        <x:v>339.80157357262078</x:v>
      </x:c>
      <x:c r="AO63" s="272">
        <x:f t="shared" si="31"/>
        <x:v>154.92895807175054</x:v>
      </x:c>
      <x:c r="AP63" s="272">
        <x:f t="shared" si="15"/>
        <x:v>247.34438864358617</x:v>
      </x:c>
      <x:c r="AQ63" s="272">
        <x:f t="shared" si="16"/>
        <x:v>154.97071242894941</x:v>
      </x:c>
      <x:c r="AR63" s="272"/>
      <x:c r="AS63" s="286">
        <x:f t="shared" si="32"/>
        <x:v>669.33175757722438</x:v>
      </x:c>
      <x:c r="AT63" s="286">
        <x:f t="shared" si="33"/>
        <x:v>897.04563271690699</x:v>
      </x:c>
      <x:c r="AY63" s="279">
        <x:f t="shared" si="34"/>
        <x:v>-471.25238264466333</x:v>
      </x:c>
      <x:c r="AZ63" s="279">
        <x:f t="shared" si="35"/>
        <x:v>471.25238264466333</x:v>
      </x:c>
      <x:c r="BA63" s="279">
        <x:f t="shared" si="17"/>
        <x:v>288.7838314974706</x:v>
      </x:c>
      <x:c r="BB63" s="279">
        <x:f t="shared" si="18"/>
        <x:v>288.7838314974706</x:v>
      </x:c>
      <x:c r="BC63" s="279"/>
      <x:c r="BD63" s="289">
        <x:f t="shared" si="36"/>
        <x:v>0</x:v>
      </x:c>
      <x:c r="BE63" s="289">
        <x:f t="shared" si="37"/>
        <x:v>577.5676629949412</x:v>
      </x:c>
    </x:row>
    <x:row r="64" ht="15.75" customHeight="1">
      <x:c r="A64" s="21">
        <x:v>64</x:v>
      </x:c>
      <x:c r="B64" s="21">
        <x:f t="shared" si="19"/>
        <x:v>244</x:v>
      </x:c>
      <x:c r="C64" s="21">
        <x:f t="shared" si="0"/>
        <x:v>244</x:v>
      </x:c>
      <x:c r="D64" s="21">
        <x:f t="shared" si="20"/>
        <x:v>64</x:v>
      </x:c>
      <x:c r="E64" s="22" t="n">
        <x:f t="shared" ref="E64:H64" si="69">A64*PI()/180</x:f>
        <x:v>1.117010721276371</x:v>
      </x:c>
      <x:c r="F64" s="22">
        <x:f t="shared" si="69"/>
        <x:v>4.2586033748661638</x:v>
      </x:c>
      <x:c r="G64" s="22">
        <x:f t="shared" si="69"/>
        <x:v>4.2586033748661638</x:v>
      </x:c>
      <x:c r="H64" s="22">
        <x:f t="shared" si="69"/>
        <x:v>1.1170107212763709</x:v>
      </x:c>
      <x:c r="I64" s="23"/>
      <x:c r="J64" s="23"/>
      <x:c r="K64" s="23"/>
      <x:c r="L64" s="249" t="n">
        <x:f t="shared" ref="L64:L95" si="70">Mrot*Omega^2*$C$6*SIN(E64)</x:f>
        <x:v>1229.1364421331873</x:v>
      </x:c>
      <x:c r="M64" s="249" t="n">
        <x:f t="shared" ref="M64:M95" si="71">Mrot*Omega^2*$C$6*SIN(F64)</x:f>
        <x:v>-1229.136442133187</x:v>
      </x:c>
      <x:c r="N64" s="249" t="n">
        <x:f t="shared" ref="N64:N95" si="72">Mrot*Omega^2*$C$6*SIN(G64)</x:f>
        <x:v>-1229.136442133187</x:v>
      </x:c>
      <x:c r="O64" s="249" t="n">
        <x:f t="shared" ref="O64:O95" si="73">Mrot*Omega^2*$C$6*SIN(H64)</x:f>
        <x:v>1229.1364421331873</x:v>
      </x:c>
      <x:c r="P64" s="249" t="n">
        <x:f t="shared" ref="P64:P95" si="74">(Mrot+Malt)*(Omega^2)*$C$6*COS(E64)+Malt*(Omega^2)*$C$6*lambda*COS(2*E64)</x:f>
        <x:v>1180.0628183592767</x:v>
      </x:c>
      <x:c r="Q64" s="249" t="n">
        <x:f t="shared" ref="Q64:Q95" si="75">(Mrot+Malt)*Omega^2*$C$6*COS(F64)+Malt*Omega^2*$C$6*lambda*COS(2*F64)</x:f>
        <x:v>-2102.9540611883526</x:v>
      </x:c>
      <x:c r="R64" s="249" t="n">
        <x:f t="shared" ref="R64:R95" si="76">(Mrot+Malt)*Omega^2*$C$6*COS(G64)+Malt*Omega^2*$C$6*lambda*COS(2*G64)</x:f>
        <x:v>-2102.9540611883526</x:v>
      </x:c>
      <x:c r="S64" s="249" t="n">
        <x:f t="shared" ref="S64:S95" si="77">(Mrot+Malt)*Omega^2*$C$6*COS(H64)+Malt*Omega^2*$C$6*lambda*COS(2*H64)</x:f>
        <x:v>1180.0628183592767</x:v>
      </x:c>
      <x:c r="T64" s="23"/>
      <x:c r="U64" s="23"/>
      <x:c r="V64" s="260">
        <x:f t="shared" si="22"/>
        <x:v>1560.6060374802626</x:v>
      </x:c>
      <x:c r="W64" s="260">
        <x:f t="shared" si="23"/>
        <x:v>1472.5060624228645</x:v>
      </x:c>
      <x:c r="X64" s="260">
        <x:f t="shared" si="24"/>
        <x:v>-2413.2463674639498</x:v>
      </x:c>
      <x:c r="Y64" s="260">
        <x:f t="shared" si="25"/>
        <x:v>-619.86573243917724</x:v>
      </x:c>
      <x:c r="Z64" s="260">
        <x:f t="shared" si="26"/>
        <x:v>-683.98351181444582</x:v>
      </x:c>
      <x:c r="AA64" s="260">
        <x:f t="shared" si="27"/>
        <x:v>-1940.3396797922592</x:v>
      </x:c>
      <x:c r="AB64" s="260">
        <x:f t="shared" si="28"/>
        <x:v>330.80832330893111</x:v>
      </x:c>
      <x:c r="AC64" s="260">
        <x:f t="shared" si="29"/>
        <x:v>1587.1644912867448</x:v>
      </x:c>
      <x:c r="AD64" s="260"/>
      <x:c r="AE64" s="282">
        <x:f t="shared" si="39"/>
        <x:v>0</x:v>
      </x:c>
      <x:c r="AF64" s="282">
        <x:f t="shared" si="10"/>
        <x:v>-706.35037701102942</x:v>
      </x:c>
      <x:c r="AJ64" s="272" t="n">
        <x:f t="shared" ref="AJ64:AJ95" si="78">-Z64*O_O1</x:f>
        <x:v>136.79670236288916</x:v>
      </x:c>
      <x:c r="AK64" s="272" t="n">
        <x:f t="shared" ref="AK64:AK95" si="79">-AA64*O_O2</x:f>
        <x:v>194.03396797922593</x:v>
      </x:c>
      <x:c r="AL64" s="272" t="n">
        <x:f t="shared" ref="AL64:AL95" si="80">AB64*O_O3</x:f>
        <x:v>33.08083233089311</x:v>
      </x:c>
      <x:c r="AM64" s="272" t="n">
        <x:f t="shared" ref="AM64:AM95" si="81">AC64*O_O4</x:f>
        <x:v>317.432898257349</x:v>
      </x:c>
      <x:c r="AN64" s="272" t="n">
        <x:f t="shared" ref="AN64:AN95" si="82">V64*O_O1</x:f>
        <x:v>312.12120749605253</x:v>
      </x:c>
      <x:c r="AO64" s="272" t="n">
        <x:f t="shared" ref="AO64:AO95" si="83">W64*O_O2</x:f>
        <x:v>147.25060624228647</x:v>
      </x:c>
      <x:c r="AP64" s="272" t="n">
        <x:f t="shared" ref="AP64:AP95" si="84">-X64*O_O3</x:f>
        <x:v>241.324636746395</x:v>
      </x:c>
      <x:c r="AQ64" s="272" t="n">
        <x:f t="shared" ref="AQ64:AQ95" si="85">-Y64*O_O4</x:f>
        <x:v>123.97314648783545</x:v>
      </x:c>
      <x:c r="AR64" s="272"/>
      <x:c r="AS64" s="286">
        <x:f t="shared" si="32"/>
        <x:v>681.34440093035721</x:v>
      </x:c>
      <x:c r="AT64" s="286">
        <x:f t="shared" si="33"/>
        <x:v>824.66959697256948</x:v>
      </x:c>
      <x:c r="AY64" s="279" t="n">
        <x:f t="shared" ref="AY64:AY95" si="86">m1_*R_den*wm^2*SIN(RADIANS(Vdeg/2+r_*A64+phy_deg))</x:f>
        <x:v>-449.9598937660219</x:v>
      </x:c>
      <x:c r="AZ64" s="279" t="n">
        <x:f t="shared" ref="AZ64:AZ95" si="87">m2_*R_den*wm^2*SIN(RADIANS(-(Vdeg/2+r_*A64+phy_deg)))</x:f>
        <x:v>449.9598937660219</x:v>
      </x:c>
      <x:c r="BA64" s="279" t="n">
        <x:f t="shared" ref="BA64:BA95" si="88">m1_*R_den*wm^2*COS(RADIANS(Vdeg/2+r_*A64+phy_deg))</x:f>
        <x:v>320.953273054976</x:v>
      </x:c>
      <x:c r="BB64" s="279" t="n">
        <x:f t="shared" ref="BB64:BB95" si="89">m2_*R_den*wm^2*COS(RADIANS(-(Vdeg/2+r_*A64+phy_deg)))</x:f>
        <x:v>320.953273054976</x:v>
      </x:c>
      <x:c r="BC64" s="279"/>
      <x:c r="BD64" s="289">
        <x:f t="shared" si="36"/>
        <x:v>0</x:v>
      </x:c>
      <x:c r="BE64" s="289">
        <x:f t="shared" si="37"/>
        <x:v>641.90654610995284</x:v>
      </x:c>
    </x:row>
    <x:row r="65" ht="15.75" customHeight="1">
      <x:c r="A65" s="21">
        <x:v>66</x:v>
      </x:c>
      <x:c r="B65" s="21">
        <x:f t="shared" si="19"/>
        <x:v>246</x:v>
      </x:c>
      <x:c r="C65" s="21">
        <x:f t="shared" si="0"/>
        <x:v>246</x:v>
      </x:c>
      <x:c r="D65" s="21">
        <x:f t="shared" si="20"/>
        <x:v>66</x:v>
      </x:c>
      <x:c r="E65" s="22" t="n">
        <x:f t="shared" ref="E65:H65" si="90">A65*PI()/180</x:f>
        <x:v>1.1519173063162575</x:v>
      </x:c>
      <x:c r="F65" s="22">
        <x:f t="shared" si="90"/>
        <x:v>4.2935099599060509</x:v>
      </x:c>
      <x:c r="G65" s="22">
        <x:f t="shared" si="90"/>
        <x:v>4.2935099599060509</x:v>
      </x:c>
      <x:c r="H65" s="22">
        <x:f t="shared" si="90"/>
        <x:v>1.1519173063162575</x:v>
      </x:c>
      <x:c r="I65" s="23"/>
      <x:c r="J65" s="23"/>
      <x:c r="K65" s="23"/>
      <x:c r="L65" s="249">
        <x:f t="shared" si="70"/>
        <x:v>1249.3095811629448</x:v>
      </x:c>
      <x:c r="M65" s="249">
        <x:f t="shared" si="71"/>
        <x:v>-1249.3095811629451</x:v>
      </x:c>
      <x:c r="N65" s="249">
        <x:f t="shared" si="72"/>
        <x:v>-1249.3095811629451</x:v>
      </x:c>
      <x:c r="O65" s="249">
        <x:f t="shared" si="73"/>
        <x:v>1249.3095811629448</x:v>
      </x:c>
      <x:c r="P65" s="249">
        <x:f t="shared" si="74"/>
        <x:v>1021.5296700005174</x:v>
      </x:c>
      <x:c r="Q65" s="249">
        <x:f t="shared" si="75"/>
        <x:v>-2024.5724161636585</x:v>
      </x:c>
      <x:c r="R65" s="249">
        <x:f t="shared" si="76"/>
        <x:v>-2024.5724161636585</x:v>
      </x:c>
      <x:c r="S65" s="249">
        <x:f t="shared" si="77"/>
        <x:v>1021.5296700005174</x:v>
      </x:c>
      <x:c r="T65" s="23"/>
      <x:c r="U65" s="23"/>
      <x:c r="V65" s="260">
        <x:f t="shared" si="22"/>
        <x:v>1421.8604325725155</x:v>
      </x:c>
      <x:c r="W65" s="260">
        <x:f t="shared" si="23"/>
        <x:v>1392.3709387744987</x:v>
      </x:c>
      <x:c r="X65" s="260">
        <x:f t="shared" si="24"/>
        <x:v>-2348.551095986556</x:v>
      </x:c>
      <x:c r="Y65" s="260">
        <x:f t="shared" si="25"/>
        <x:v>-465.68027536045855</x:v>
      </x:c>
      <x:c r="Z65" s="260">
        <x:f t="shared" si="26"/>
        <x:v>-763.28907142811727</x:v>
      </x:c>
      <x:c r="AA65" s="260">
        <x:f t="shared" si="27"/>
        <x:v>-1928.981873095885</x:v>
      </x:c>
      <x:c r="AB65" s="260">
        <x:f t="shared" si="28"/>
        <x:v>379.44123051750114</x:v>
      </x:c>
      <x:c r="AC65" s="260">
        <x:f t="shared" si="29"/>
        <x:v>1545.1340321852683</x:v>
      </x:c>
      <x:c r="AD65" s="260"/>
      <x:c r="AE65" s="282">
        <x:f t="shared" si="39"/>
        <x:v>-6.2527760746888816E-13</x:v>
      </x:c>
      <x:c r="AF65" s="282">
        <x:f t="shared" si="10"/>
        <x:v>-767.69568182123317</x:v>
      </x:c>
      <x:c r="AJ65" s="272">
        <x:f t="shared" si="78"/>
        <x:v>152.65781428562346</x:v>
      </x:c>
      <x:c r="AK65" s="272">
        <x:f t="shared" si="79"/>
        <x:v>192.89818730958851</x:v>
      </x:c>
      <x:c r="AL65" s="272">
        <x:f t="shared" si="80"/>
        <x:v>37.944123051750118</x:v>
      </x:c>
      <x:c r="AM65" s="272">
        <x:f t="shared" si="81"/>
        <x:v>309.02680643705366</x:v>
      </x:c>
      <x:c r="AN65" s="272">
        <x:f t="shared" si="82"/>
        <x:v>284.37208651450311</x:v>
      </x:c>
      <x:c r="AO65" s="272">
        <x:f t="shared" si="83"/>
        <x:v>139.23709387744987</x:v>
      </x:c>
      <x:c r="AP65" s="272">
        <x:f t="shared" si="84"/>
        <x:v>234.85510959865562</x:v>
      </x:c>
      <x:c r="AQ65" s="272">
        <x:f t="shared" si="85"/>
        <x:v>93.136055072091722</x:v>
      </x:c>
      <x:c r="AR65" s="272"/>
      <x:c r="AS65" s="286">
        <x:f t="shared" si="32"/>
        <x:v>692.52693108401581</x:v>
      </x:c>
      <x:c r="AT65" s="286">
        <x:f t="shared" si="33"/>
        <x:v>751.60034506270028</x:v>
      </x:c>
      <x:c r="AY65" s="279">
        <x:f t="shared" si="86"/>
        <x:v>-426.47524551476249</x:v>
      </x:c>
      <x:c r="AZ65" s="279">
        <x:f t="shared" si="87"/>
        <x:v>426.47524551476249</x:v>
      </x:c>
      <x:c r="BA65" s="279">
        <x:f t="shared" si="88"/>
        <x:v>351.55906252826816</x:v>
      </x:c>
      <x:c r="BB65" s="279">
        <x:f t="shared" si="89"/>
        <x:v>351.55906252826816</x:v>
      </x:c>
      <x:c r="BC65" s="279"/>
      <x:c r="BD65" s="289">
        <x:f t="shared" si="36"/>
        <x:v>0</x:v>
      </x:c>
      <x:c r="BE65" s="289">
        <x:f t="shared" si="37"/>
        <x:v>703.11812505653631</x:v>
      </x:c>
    </x:row>
    <x:row r="66" ht="15.75" customHeight="1">
      <x:c r="A66" s="21">
        <x:v>68</x:v>
      </x:c>
      <x:c r="B66" s="21">
        <x:f t="shared" si="19"/>
        <x:v>248</x:v>
      </x:c>
      <x:c r="C66" s="21">
        <x:f t="shared" si="0"/>
        <x:v>248</x:v>
      </x:c>
      <x:c r="D66" s="21">
        <x:f t="shared" si="20"/>
        <x:v>68</x:v>
      </x:c>
      <x:c r="E66" s="22" t="n">
        <x:f t="shared" ref="E66:H66" si="91">A66*PI()/180</x:f>
        <x:v>1.1868238913561442</x:v>
      </x:c>
      <x:c r="F66" s="22">
        <x:f t="shared" si="91"/>
        <x:v>4.3284165449459371</x:v>
      </x:c>
      <x:c r="G66" s="22">
        <x:f t="shared" si="91"/>
        <x:v>4.3284165449459371</x:v>
      </x:c>
      <x:c r="H66" s="22">
        <x:f t="shared" si="91"/>
        <x:v>1.1868238913561442</x:v>
      </x:c>
      <x:c r="I66" s="23"/>
      <x:c r="J66" s="23"/>
      <x:c r="K66" s="23"/>
      <x:c r="L66" s="249">
        <x:f t="shared" si="70"/>
        <x:v>1267.960628909444</x:v>
      </x:c>
      <x:c r="M66" s="249">
        <x:f t="shared" si="71"/>
        <x:v>-1267.9606289094438</x:v>
      </x:c>
      <x:c r="N66" s="249">
        <x:f t="shared" si="72"/>
        <x:v>-1267.9606289094438</x:v>
      </x:c>
      <x:c r="O66" s="249">
        <x:f t="shared" si="73"/>
        <x:v>1267.960628909444</x:v>
      </x:c>
      <x:c r="P66" s="249">
        <x:f t="shared" si="74"/>
        <x:v>863.58428027069203</x:v>
      </x:c>
      <x:c r="Q66" s="249">
        <x:f t="shared" si="75"/>
        <x:v>-1941.891806334098</x:v>
      </x:c>
      <x:c r="R66" s="249">
        <x:f t="shared" si="76"/>
        <x:v>-1941.891806334098</x:v>
      </x:c>
      <x:c r="S66" s="249">
        <x:f t="shared" si="77"/>
        <x:v>863.58428027069203</x:v>
      </x:c>
      <x:c r="T66" s="23"/>
      <x:c r="U66" s="23"/>
      <x:c r="V66" s="260">
        <x:f t="shared" si="22"/>
        <x:v>1283.075366715447</x:v>
      </x:c>
      <x:c r="W66" s="260">
        <x:f t="shared" si="23"/>
        <x:v>1308.8465686485806</x:v>
      </x:c>
      <x:c r="X66" s="260">
        <x:f t="shared" si="24"/>
        <x:v>-2279.3016197983084</x:v>
      </x:c>
      <x:c r="Y66" s="260">
        <x:f t="shared" si="25"/>
        <x:v>-312.62031556571901</x:v>
      </x:c>
      <x:c r="Z66" s="260">
        <x:f t="shared" si="26"/>
        <x:v>-840.96347656905027</x:v>
      </x:c>
      <x:c r="AA66" s="260">
        <x:f t="shared" si="27"/>
        <x:v>-1914.572694809151</x:v>
      </x:c>
      <x:c r="AB66" s="260">
        <x:f t="shared" si="28"/>
        <x:v>428.31305134999729</x:v>
      </x:c>
      <x:c r="AC66" s="260">
        <x:f t="shared" si="29"/>
        <x:v>1501.9222695900985</x:v>
      </x:c>
      <x:c r="AD66" s="260"/>
      <x:c r="AE66" s="282">
        <x:f t="shared" si="39"/>
        <x:v>0</x:v>
      </x:c>
      <x:c r="AF66" s="282">
        <x:f t="shared" si="10"/>
        <x:v>-825.3008504381055</x:v>
      </x:c>
      <x:c r="AJ66" s="272">
        <x:f t="shared" si="78"/>
        <x:v>168.19269531381008</x:v>
      </x:c>
      <x:c r="AK66" s="272">
        <x:f t="shared" si="79"/>
        <x:v>191.4572694809151</x:v>
      </x:c>
      <x:c r="AL66" s="272">
        <x:f t="shared" si="80"/>
        <x:v>42.831305134999731</x:v>
      </x:c>
      <x:c r="AM66" s="272">
        <x:f t="shared" si="81"/>
        <x:v>300.38445391801969</x:v>
      </x:c>
      <x:c r="AN66" s="272">
        <x:f t="shared" si="82"/>
        <x:v>256.61507334308942</x:v>
      </x:c>
      <x:c r="AO66" s="272">
        <x:f t="shared" si="83"/>
        <x:v>130.88465686485807</x:v>
      </x:c>
      <x:c r="AP66" s="272">
        <x:f t="shared" si="84"/>
        <x:v>227.93016197983084</x:v>
      </x:c>
      <x:c r="AQ66" s="272">
        <x:f t="shared" si="85"/>
        <x:v>62.524063113143804</x:v>
      </x:c>
      <x:c r="AR66" s="272"/>
      <x:c r="AS66" s="286">
        <x:f t="shared" si="32"/>
        <x:v>702.86572384774468</x:v>
      </x:c>
      <x:c r="AT66" s="286">
        <x:f t="shared" si="33"/>
        <x:v>677.95395530092219</x:v>
      </x:c>
      <x:c r="AY66" s="279">
        <x:f t="shared" si="86"/>
        <x:v>-400.91285273649692</x:v>
      </x:c>
      <x:c r="AZ66" s="279">
        <x:f t="shared" si="87"/>
        <x:v>400.91285273649692</x:v>
      </x:c>
      <x:c r="BA66" s="279">
        <x:f t="shared" si="88"/>
        <x:v>380.45209158751595</x:v>
      </x:c>
      <x:c r="BB66" s="279">
        <x:f t="shared" si="89"/>
        <x:v>380.45209158751595</x:v>
      </x:c>
      <x:c r="BC66" s="279"/>
      <x:c r="BD66" s="289">
        <x:f t="shared" si="36"/>
        <x:v>0</x:v>
      </x:c>
      <x:c r="BE66" s="289">
        <x:f t="shared" si="37"/>
        <x:v>760.9041831750319</x:v>
      </x:c>
    </x:row>
    <x:row r="67" ht="15.75" customHeight="1">
      <x:c r="A67" s="21">
        <x:v>70</x:v>
      </x:c>
      <x:c r="B67" s="21">
        <x:f t="shared" si="19"/>
        <x:v>250</x:v>
      </x:c>
      <x:c r="C67" s="21">
        <x:f t="shared" si="0"/>
        <x:v>250</x:v>
      </x:c>
      <x:c r="D67" s="21">
        <x:f t="shared" si="20"/>
        <x:v>70</x:v>
      </x:c>
      <x:c r="E67" s="22" t="n">
        <x:f t="shared" ref="E67:H67" si="92">A67*PI()/180</x:f>
        <x:v>1.2217304763960306</x:v>
      </x:c>
      <x:c r="F67" s="22">
        <x:f t="shared" si="92"/>
        <x:v>4.3633231299858233</x:v>
      </x:c>
      <x:c r="G67" s="22">
        <x:f t="shared" si="92"/>
        <x:v>4.3633231299858233</x:v>
      </x:c>
      <x:c r="H67" s="22">
        <x:f t="shared" si="92"/>
        <x:v>1.2217304763960306</x:v>
      </x:c>
      <x:c r="I67" s="23"/>
      <x:c r="J67" s="23"/>
      <x:c r="K67" s="23"/>
      <x:c r="L67" s="249">
        <x:f t="shared" si="70"/>
        <x:v>1285.0668619439789</x:v>
      </x:c>
      <x:c r="M67" s="249">
        <x:f t="shared" si="71"/>
        <x:v>-1285.0668619439787</x:v>
      </x:c>
      <x:c r="N67" s="249">
        <x:f t="shared" si="72"/>
        <x:v>-1285.0668619439787</x:v>
      </x:c>
      <x:c r="O67" s="249">
        <x:f t="shared" si="73"/>
        <x:v>1285.0668619439789</x:v>
      </x:c>
      <x:c r="P67" s="249">
        <x:f t="shared" si="74"/>
        <x:v>706.55657324827848</x:v>
      </x:c>
      <x:c r="Q67" s="249">
        <x:f t="shared" si="75"/>
        <x:v>-1854.8754733360611</x:v>
      </x:c>
      <x:c r="R67" s="249">
        <x:f t="shared" si="76"/>
        <x:v>-1854.8754733360611</x:v>
      </x:c>
      <x:c r="S67" s="249">
        <x:f t="shared" si="77"/>
        <x:v>706.55657324827848</x:v>
      </x:c>
      <x:c r="T67" s="23"/>
      <x:c r="U67" s="23"/>
      <x:c r="V67" s="260">
        <x:f t="shared" si="22"/>
        <x:v>1144.5469541327532</x:v>
      </x:c>
      <x:c r="W67" s="260">
        <x:f t="shared" si="23"/>
        <x:v>1221.9076876250151</x:v>
      </x:c>
      <x:c r="X67" s="260">
        <x:f t="shared" si="24"/>
        <x:v>-2205.4552827197285</x:v>
      </x:c>
      <x:c r="Y67" s="260">
        <x:f t="shared" si="25"/>
        <x:v>-160.99935903803936</x:v>
      </x:c>
      <x:c r="Z67" s="260">
        <x:f t="shared" si="26"/>
        <x:v>-916.85947704778221</x:v>
      </x:c>
      <x:c r="AA67" s="260">
        <x:f t="shared" si="27"/>
        <x:v>-1897.0770844046137</x:v>
      </x:c>
      <x:c r="AB67" s="260">
        <x:f t="shared" si="28"/>
        <x:v>477.41685891248471</x:v>
      </x:c>
      <x:c r="AC67" s="260">
        <x:f t="shared" si="29"/>
        <x:v>1457.6344662693168</x:v>
      </x:c>
      <x:c r="AD67" s="260"/>
      <x:c r="AE67" s="282">
        <x:f t="shared" si="39"/>
        <x:v>6.2527760746888816E-13</x:v>
      </x:c>
      <x:c r="AF67" s="282">
        <x:f t="shared" si="10"/>
        <x:v>-878.88523627059431</x:v>
      </x:c>
      <x:c r="AJ67" s="272">
        <x:f t="shared" si="78"/>
        <x:v>183.37189540955646</x:v>
      </x:c>
      <x:c r="AK67" s="272">
        <x:f t="shared" si="79"/>
        <x:v>189.70770844046137</x:v>
      </x:c>
      <x:c r="AL67" s="272">
        <x:f t="shared" si="80"/>
        <x:v>47.741685891248473</x:v>
      </x:c>
      <x:c r="AM67" s="272">
        <x:f t="shared" si="81"/>
        <x:v>291.52689325386336</x:v>
      </x:c>
      <x:c r="AN67" s="272">
        <x:f t="shared" si="82"/>
        <x:v>228.90939082655063</x:v>
      </x:c>
      <x:c r="AO67" s="272">
        <x:f t="shared" si="83"/>
        <x:v>122.19076876250152</x:v>
      </x:c>
      <x:c r="AP67" s="272">
        <x:f t="shared" si="84"/>
        <x:v>220.54552827197287</x:v>
      </x:c>
      <x:c r="AQ67" s="272">
        <x:f t="shared" si="85"/>
        <x:v>32.19987180760787</x:v>
      </x:c>
      <x:c r="AR67" s="272"/>
      <x:c r="AS67" s="286">
        <x:f t="shared" si="32"/>
        <x:v>712.34818299512972</x:v>
      </x:c>
      <x:c r="AT67" s="286">
        <x:f t="shared" si="33"/>
        <x:v>603.84555966863297</x:v>
      </x:c>
      <x:c r="AY67" s="279">
        <x:f t="shared" si="86"/>
        <x:v>-373.39725283931818</x:v>
      </x:c>
      <x:c r="AZ67" s="279">
        <x:f t="shared" si="87"/>
        <x:v>373.39725283931818</x:v>
      </x:c>
      <x:c r="BA67" s="279">
        <x:f t="shared" si="88"/>
        <x:v>407.49159629945984</x:v>
      </x:c>
      <x:c r="BB67" s="279">
        <x:f t="shared" si="89"/>
        <x:v>407.49159629945984</x:v>
      </x:c>
      <x:c r="BC67" s="279"/>
      <x:c r="BD67" s="289">
        <x:f t="shared" si="36"/>
        <x:v>0</x:v>
      </x:c>
      <x:c r="BE67" s="289">
        <x:f t="shared" si="37"/>
        <x:v>814.98319259891969</x:v>
      </x:c>
    </x:row>
    <x:row r="68" ht="15.75" customHeight="1">
      <x:c r="A68" s="21">
        <x:v>72</x:v>
      </x:c>
      <x:c r="B68" s="21">
        <x:f t="shared" si="19"/>
        <x:v>252</x:v>
      </x:c>
      <x:c r="C68" s="21">
        <x:f t="shared" si="0"/>
        <x:v>252</x:v>
      </x:c>
      <x:c r="D68" s="21">
        <x:f t="shared" si="20"/>
        <x:v>72</x:v>
      </x:c>
      <x:c r="E68" s="22" t="n">
        <x:f t="shared" ref="E68:H68" si="93">A68*PI()/180</x:f>
        <x:v>1.2566370614359172</x:v>
      </x:c>
      <x:c r="F68" s="22">
        <x:f t="shared" si="93"/>
        <x:v>4.3982297150257104</x:v>
      </x:c>
      <x:c r="G68" s="22">
        <x:f t="shared" si="93"/>
        <x:v>4.3982297150257104</x:v>
      </x:c>
      <x:c r="H68" s="22">
        <x:f t="shared" si="93"/>
        <x:v>1.2566370614359172</x:v>
      </x:c>
      <x:c r="I68" s="23"/>
      <x:c r="J68" s="23"/>
      <x:c r="K68" s="23"/>
      <x:c r="L68" s="249">
        <x:f t="shared" si="70"/>
        <x:v>1300.6074389566104</x:v>
      </x:c>
      <x:c r="M68" s="249">
        <x:f t="shared" si="71"/>
        <x:v>-1300.6074389566104</x:v>
      </x:c>
      <x:c r="N68" s="249">
        <x:f t="shared" si="72"/>
        <x:v>-1300.6074389566104</x:v>
      </x:c>
      <x:c r="O68" s="249">
        <x:f t="shared" si="73"/>
        <x:v>1300.6074389566104</x:v>
      </x:c>
      <x:c r="P68" s="249">
        <x:f t="shared" si="74"/>
        <x:v>550.76575815697038</x:v>
      </x:c>
      <x:c r="Q68" s="249">
        <x:f t="shared" si="75"/>
        <x:v>-1763.5015380165123</x:v>
      </x:c>
      <x:c r="R68" s="249">
        <x:f t="shared" si="76"/>
        <x:v>-1763.5015380165123</x:v>
      </x:c>
      <x:c r="S68" s="249">
        <x:f t="shared" si="77"/>
        <x:v>550.76575815697038</x:v>
      </x:c>
      <x:c r="T68" s="23"/>
      <x:c r="U68" s="23"/>
      <x:c r="V68" s="260">
        <x:f t="shared" si="22"/>
        <x:v>1006.562130068771</x:v>
      </x:c>
      <x:c r="W68" s="260">
        <x:f t="shared" si="23"/>
        <x:v>1131.5420576261458</x:v>
      </x:c>
      <x:c r="X68" s="260">
        <x:f t="shared" si="24"/>
        <x:v>-2126.9838954251154</x:v>
      </x:c>
      <x:c r="Y68" s="260">
        <x:f t="shared" si="25"/>
        <x:v>-11.120292269801496</x:v>
      </x:c>
      <x:c r="Z68" s="260">
        <x:f t="shared" si="26"/>
        <x:v>-990.83566192326475</x:v>
      </x:c>
      <x:c r="AA68" s="260">
        <x:f t="shared" si="27"/>
        <x:v>-1876.4674142332092</x:v>
      </x:c>
      <x:c r="AB68" s="260">
        <x:f t="shared" si="28"/>
        <x:v>526.74177113466124</x:v>
      </x:c>
      <x:c r="AC68" s="260">
        <x:f t="shared" si="29"/>
        <x:v>1412.3735234446056</x:v>
      </x:c>
      <x:c r="AD68" s="260"/>
      <x:c r="AE68" s="282">
        <x:f t="shared" si="39"/>
        <x:v>-2.8421709430404007E-13</x:v>
      </x:c>
      <x:c r="AF68" s="282">
        <x:f t="shared" si="10"/>
        <x:v>-928.18778157720749</x:v>
      </x:c>
      <x:c r="AJ68" s="272">
        <x:f t="shared" si="78"/>
        <x:v>198.16713238465297</x:v>
      </x:c>
      <x:c r="AK68" s="272">
        <x:f t="shared" si="79"/>
        <x:v>187.64674142332092</x:v>
      </x:c>
      <x:c r="AL68" s="272">
        <x:f t="shared" si="80"/>
        <x:v>52.674177113466129</x:v>
      </x:c>
      <x:c r="AM68" s="272">
        <x:f t="shared" si="81"/>
        <x:v>282.47470468892112</x:v>
      </x:c>
      <x:c r="AN68" s="272">
        <x:f t="shared" si="82"/>
        <x:v>201.31242601375422</x:v>
      </x:c>
      <x:c r="AO68" s="272">
        <x:f t="shared" si="83"/>
        <x:v>113.15420576261459</x:v>
      </x:c>
      <x:c r="AP68" s="272">
        <x:f t="shared" si="84"/>
        <x:v>212.69838954251156</x:v>
      </x:c>
      <x:c r="AQ68" s="272">
        <x:f t="shared" si="85"/>
        <x:v>2.2240584539602994</x:v>
      </x:c>
      <x:c r="AR68" s="272"/>
      <x:c r="AS68" s="286">
        <x:f t="shared" si="32"/>
        <x:v>720.96275561036123</x:v>
      </x:c>
      <x:c r="AT68" s="286">
        <x:f t="shared" si="33"/>
        <x:v>529.38907977284066</x:v>
      </x:c>
      <x:c r="AY68" s="279">
        <x:f t="shared" si="86"/>
        <x:v>-344.0624990600669</x:v>
      </x:c>
      <x:c r="AZ68" s="279">
        <x:f t="shared" si="87"/>
        <x:v>344.0624990600669</x:v>
      </x:c>
      <x:c r="BA68" s="279">
        <x:f t="shared" si="88"/>
        <x:v>432.54584291514482</x:v>
      </x:c>
      <x:c r="BB68" s="279">
        <x:f t="shared" si="89"/>
        <x:v>432.54584291514482</x:v>
      </x:c>
      <x:c r="BC68" s="279"/>
      <x:c r="BD68" s="289">
        <x:f t="shared" si="36"/>
        <x:v>0</x:v>
      </x:c>
      <x:c r="BE68" s="289">
        <x:f t="shared" si="37"/>
        <x:v>865.09168583028963</x:v>
      </x:c>
    </x:row>
    <x:row r="69" ht="15.75" customHeight="1">
      <x:c r="A69" s="21">
        <x:v>74</x:v>
      </x:c>
      <x:c r="B69" s="21">
        <x:f t="shared" si="19"/>
        <x:v>254</x:v>
      </x:c>
      <x:c r="C69" s="21">
        <x:f t="shared" si="0"/>
        <x:v>254</x:v>
      </x:c>
      <x:c r="D69" s="21">
        <x:f t="shared" si="20"/>
        <x:v>74</x:v>
      </x:c>
      <x:c r="E69" s="22" t="n">
        <x:f t="shared" ref="E69:H69" si="94">A69*PI()/180</x:f>
        <x:v>1.2915436464758039</x:v>
      </x:c>
      <x:c r="F69" s="22">
        <x:f t="shared" si="94"/>
        <x:v>4.4331363000655974</x:v>
      </x:c>
      <x:c r="G69" s="22">
        <x:f t="shared" si="94"/>
        <x:v>4.4331363000655974</x:v>
      </x:c>
      <x:c r="H69" s="22">
        <x:f t="shared" si="94"/>
        <x:v>1.2915436464758039</x:v>
      </x:c>
      <x:c r="I69" s="23"/>
      <x:c r="J69" s="23"/>
      <x:c r="K69" s="23"/>
      <x:c r="L69" s="249">
        <x:f t="shared" si="70"/>
        <x:v>1314.5634261480911</x:v>
      </x:c>
      <x:c r="M69" s="249">
        <x:f t="shared" si="71"/>
        <x:v>-1314.5634261480914</x:v>
      </x:c>
      <x:c r="N69" s="249">
        <x:f t="shared" si="72"/>
        <x:v>-1314.5634261480914</x:v>
      </x:c>
      <x:c r="O69" s="249">
        <x:f t="shared" si="73"/>
        <x:v>1314.5634261480911</x:v>
      </x:c>
      <x:c r="P69" s="249">
        <x:f t="shared" si="74"/>
        <x:v>396.51931736609356</x:v>
      </x:c>
      <x:c r="Q69" s="249">
        <x:f t="shared" si="75"/>
        <x:v>-1667.7636501816942</x:v>
      </x:c>
      <x:c r="R69" s="249">
        <x:f t="shared" si="76"/>
        <x:v>-1667.7636501816942</x:v>
      </x:c>
      <x:c r="S69" s="249">
        <x:f t="shared" si="77"/>
        <x:v>396.51931736609356</x:v>
      </x:c>
      <x:c r="T69" s="23"/>
      <x:c r="U69" s="23"/>
      <x:c r="V69" s="260">
        <x:f t="shared" si="22"/>
        <x:v>869.39772553984494</x:v>
      </x:c>
      <x:c r="W69" s="260">
        <x:f t="shared" si="23"/>
        <x:v>1037.7510574892169</x:v>
      </x:c>
      <x:c r="X69" s="260">
        <x:f t="shared" si="24"/>
        <x:v>-2043.8743454491448</x:v>
      </x:c>
      <x:c r="Y69" s="260">
        <x:f t="shared" si="25"/>
        <x:v>136.72556242008278</x:v>
      </x:c>
      <x:c r="Z69" s="260">
        <x:f t="shared" si="26"/>
        <x:v>-1062.7568702374149</x:v>
      </x:c>
      <x:c r="AA69" s="260">
        <x:f t="shared" si="27"/>
        <x:v>-1852.723761631396</x:v>
      </x:c>
      <x:c r="AB69" s="260">
        <x:f t="shared" si="28"/>
        <x:v>576.27272558087236</x:v>
      </x:c>
      <x:c r="AC69" s="260">
        <x:f t="shared" si="29"/>
        <x:v>1366.2396169748529</x:v>
      </x:c>
      <x:c r="AD69" s="260"/>
      <x:c r="AE69" s="282">
        <x:f t="shared" si="39"/>
        <x:v>0</x:v>
      </x:c>
      <x:c r="AF69" s="282">
        <x:f t="shared" si="10"/>
        <x:v>-972.96828931308551</x:v>
      </x:c>
      <x:c r="AJ69" s="272">
        <x:f t="shared" si="78"/>
        <x:v>212.55137404748299</x:v>
      </x:c>
      <x:c r="AK69" s="272">
        <x:f t="shared" si="79"/>
        <x:v>185.2723761631396</x:v>
      </x:c>
      <x:c r="AL69" s="272">
        <x:f t="shared" si="80"/>
        <x:v>57.627272558087242</x:v>
      </x:c>
      <x:c r="AM69" s="272">
        <x:f t="shared" si="81"/>
        <x:v>273.2479233949706</x:v>
      </x:c>
      <x:c r="AN69" s="272">
        <x:f t="shared" si="82"/>
        <x:v>173.87954510796899</x:v>
      </x:c>
      <x:c r="AO69" s="272">
        <x:f t="shared" si="83"/>
        <x:v>103.7751057489217</x:v>
      </x:c>
      <x:c r="AP69" s="272">
        <x:f t="shared" si="84"/>
        <x:v>204.3874345449145</x:v>
      </x:c>
      <x:c r="AQ69" s="272">
        <x:f t="shared" si="85"/>
        <x:v>-27.345112484016557</x:v>
      </x:c>
      <x:c r="AR69" s="272"/>
      <x:c r="AS69" s="286">
        <x:f t="shared" si="32"/>
        <x:v>728.69894616368049</x:v>
      </x:c>
      <x:c r="AT69" s="286">
        <x:f t="shared" si="33"/>
        <x:v>454.69697291778868</x:v>
      </x:c>
      <x:c r="AY69" s="279">
        <x:f t="shared" si="86"/>
        <x:v>-313.05150737043647</x:v>
      </x:c>
      <x:c r="AZ69" s="279">
        <x:f t="shared" si="87"/>
        <x:v>313.05150737043647</x:v>
      </x:c>
      <x:c r="BA69" s="279">
        <x:f t="shared" si="88"/>
        <x:v>455.49276966350328</x:v>
      </x:c>
      <x:c r="BB69" s="279">
        <x:f t="shared" si="89"/>
        <x:v>455.49276966350328</x:v>
      </x:c>
      <x:c r="BC69" s="279"/>
      <x:c r="BD69" s="289">
        <x:f t="shared" si="36"/>
        <x:v>0</x:v>
      </x:c>
      <x:c r="BE69" s="289">
        <x:f t="shared" si="37"/>
        <x:v>910.98553932700656</x:v>
      </x:c>
    </x:row>
    <x:row r="70" ht="15.75" customHeight="1">
      <x:c r="A70" s="21">
        <x:v>76</x:v>
      </x:c>
      <x:c r="B70" s="21">
        <x:f t="shared" si="19"/>
        <x:v>256</x:v>
      </x:c>
      <x:c r="C70" s="21">
        <x:f t="shared" si="0"/>
        <x:v>256</x:v>
      </x:c>
      <x:c r="D70" s="21">
        <x:f t="shared" si="20"/>
        <x:v>76</x:v>
      </x:c>
      <x:c r="E70" s="22" t="n">
        <x:f t="shared" ref="E70:H70" si="95">A70*PI()/180</x:f>
        <x:v>1.3264502315156903</x:v>
      </x:c>
      <x:c r="F70" s="22">
        <x:f t="shared" si="95"/>
        <x:v>4.4680428851054836</x:v>
      </x:c>
      <x:c r="G70" s="22">
        <x:f t="shared" si="95"/>
        <x:v>4.4680428851054836</x:v>
      </x:c>
      <x:c r="H70" s="22">
        <x:f t="shared" si="95"/>
        <x:v>1.3264502315156903</x:v>
      </x:c>
      <x:c r="I70" s="23"/>
      <x:c r="J70" s="23"/>
      <x:c r="K70" s="23"/>
      <x:c r="L70" s="249">
        <x:f t="shared" si="70"/>
        <x:v>1326.917820297783</x:v>
      </x:c>
      <x:c r="M70" s="249">
        <x:f t="shared" si="71"/>
        <x:v>-1326.917820297783</x:v>
      </x:c>
      <x:c r="N70" s="249">
        <x:f t="shared" si="72"/>
        <x:v>-1326.917820297783</x:v>
      </x:c>
      <x:c r="O70" s="249">
        <x:f t="shared" si="73"/>
        <x:v>1326.917820297783</x:v>
      </x:c>
      <x:c r="P70" s="249">
        <x:f t="shared" si="74"/>
        <x:v>244.11205846866915</x:v>
      </x:c>
      <x:c r="Q70" s="249">
        <x:f t="shared" si="75"/>
        <x:v>-1567.6715696358847</x:v>
      </x:c>
      <x:c r="R70" s="249">
        <x:f t="shared" si="76"/>
        <x:v>-1567.6715696358847</x:v>
      </x:c>
      <x:c r="S70" s="249">
        <x:f t="shared" si="77"/>
        <x:v>244.11205846866915</x:v>
      </x:c>
      <x:c r="T70" s="23"/>
      <x:c r="U70" s="23"/>
      <x:c r="V70" s="260">
        <x:f t="shared" si="22"/>
        <x:v>733.31960039636101</x:v>
      </x:c>
      <x:c r="W70" s="260">
        <x:f t="shared" si="23"/>
        <x:v>940.55021094847734</x:v>
      </x:c>
      <x:c r="X70" s="260">
        <x:f t="shared" si="24"/>
        <x:v>-1956.1291428243953</x:v>
      </x:c>
      <x:c r="Y70" s="260">
        <x:f t="shared" si="25"/>
        <x:v>282.25933147955709</x:v>
      </x:c>
      <x:c r="Z70" s="260">
        <x:f t="shared" si="26"/>
        <x:v>-1132.4945750811137</x:v>
      </x:c>
      <x:c r="AA70" s="260">
        <x:f t="shared" si="27"/>
        <x:v>-1825.8341525870396</x:v>
      </x:c>
      <x:c r="AB70" s="260">
        <x:f t="shared" si="28"/>
        <x:v>625.99027840818314</x:v>
      </x:c>
      <x:c r="AC70" s="260">
        <x:f t="shared" si="29"/>
        <x:v>1319.3298559141092</x:v>
      </x:c>
      <x:c r="AD70" s="260"/>
      <x:c r="AE70" s="282">
        <x:f t="shared" si="39"/>
        <x:v>0</x:v>
      </x:c>
      <x:c r="AF70" s="282">
        <x:f t="shared" si="10"/>
        <x:v>-1013.0085933458606</x:v>
      </x:c>
      <x:c r="AJ70" s="272">
        <x:f t="shared" si="78"/>
        <x:v>226.49891501622275</x:v>
      </x:c>
      <x:c r="AK70" s="272">
        <x:f t="shared" si="79"/>
        <x:v>182.58341525870398</x:v>
      </x:c>
      <x:c r="AL70" s="272">
        <x:f t="shared" si="80"/>
        <x:v>62.599027840818316</x:v>
      </x:c>
      <x:c r="AM70" s="272">
        <x:f t="shared" si="81"/>
        <x:v>263.86597118282185</x:v>
      </x:c>
      <x:c r="AN70" s="272">
        <x:f t="shared" si="82"/>
        <x:v>146.6639200792722</x:v>
      </x:c>
      <x:c r="AO70" s="272">
        <x:f t="shared" si="83"/>
        <x:v>94.055021094847746</x:v>
      </x:c>
      <x:c r="AP70" s="272">
        <x:f t="shared" si="84"/>
        <x:v>195.61291428243953</x:v>
      </x:c>
      <x:c r="AQ70" s="272">
        <x:f t="shared" si="85"/>
        <x:v>-56.451866295911422</x:v>
      </x:c>
      <x:c r="AR70" s="272"/>
      <x:c r="AS70" s="286">
        <x:f t="shared" si="32"/>
        <x:v>735.54732929856686</x:v>
      </x:c>
      <x:c r="AT70" s="286">
        <x:f t="shared" si="33"/>
        <x:v>379.87998916064805</x:v>
      </x:c>
      <x:c r="AY70" s="279">
        <x:f t="shared" si="86"/>
        <x:v>-280.51536020472469</x:v>
      </x:c>
      <x:c r="AZ70" s="279">
        <x:f t="shared" si="87"/>
        <x:v>280.51536020472469</x:v>
      </x:c>
      <x:c r="BA70" s="279">
        <x:f t="shared" si="88"/>
        <x:v>476.22058142403426</x:v>
      </x:c>
      <x:c r="BB70" s="279">
        <x:f t="shared" si="89"/>
        <x:v>476.22058142403426</x:v>
      </x:c>
      <x:c r="BC70" s="279"/>
      <x:c r="BD70" s="289">
        <x:f t="shared" si="36"/>
        <x:v>0</x:v>
      </x:c>
      <x:c r="BE70" s="289">
        <x:f t="shared" si="37"/>
        <x:v>952.44116284806853</x:v>
      </x:c>
    </x:row>
    <x:row r="71" ht="15.75" customHeight="1">
      <x:c r="A71" s="21">
        <x:v>78</x:v>
      </x:c>
      <x:c r="B71" s="21">
        <x:f t="shared" si="19"/>
        <x:v>258</x:v>
      </x:c>
      <x:c r="C71" s="21">
        <x:f t="shared" si="0"/>
        <x:v>258</x:v>
      </x:c>
      <x:c r="D71" s="21">
        <x:f t="shared" si="20"/>
        <x:v>78</x:v>
      </x:c>
      <x:c r="E71" s="22" t="n">
        <x:f t="shared" ref="E71:H71" si="96">A71*PI()/180</x:f>
        <x:v>1.361356816555577</x:v>
      </x:c>
      <x:c r="F71" s="22">
        <x:f t="shared" si="96"/>
        <x:v>4.5029494701453698</x:v>
      </x:c>
      <x:c r="G71" s="22">
        <x:f t="shared" si="96"/>
        <x:v>4.5029494701453698</x:v>
      </x:c>
      <x:c r="H71" s="22">
        <x:f t="shared" si="96"/>
        <x:v>1.3613568165555769</x:v>
      </x:c>
      <x:c r="I71" s="23"/>
      <x:c r="J71" s="23"/>
      <x:c r="K71" s="23"/>
      <x:c r="L71" s="249">
        <x:f t="shared" si="70"/>
        <x:v>1337.6555694794631</x:v>
      </x:c>
      <x:c r="M71" s="249">
        <x:f t="shared" si="71"/>
        <x:v>-1337.6555694794631</x:v>
      </x:c>
      <x:c r="N71" s="249">
        <x:f t="shared" si="72"/>
        <x:v>-1337.6555694794631</x:v>
      </x:c>
      <x:c r="O71" s="249">
        <x:f t="shared" si="73"/>
        <x:v>1337.6555694794631</x:v>
      </x:c>
      <x:c r="P71" s="249">
        <x:f t="shared" si="74"/>
        <x:v>93.825234385092358</x:v>
      </x:c>
      <x:c r="Q71" s="249">
        <x:f t="shared" si="75"/>
        <x:v>-1463.251675009255</x:v>
      </x:c>
      <x:c r="R71" s="249">
        <x:f t="shared" si="76"/>
        <x:v>-1463.251675009255</x:v>
      </x:c>
      <x:c r="S71" s="249">
        <x:f t="shared" si="77"/>
        <x:v>93.825234385092358</x:v>
      </x:c>
      <x:c r="T71" s="23"/>
      <x:c r="U71" s="23"/>
      <x:c r="V71" s="260">
        <x:f t="shared" si="22"/>
        <x:v>598.58183833214082</x:v>
      </x:c>
      <x:c r="W71" s="260">
        <x:f t="shared" si="23"/>
        <x:v>839.96964880322787</x:v>
      </x:c>
      <x:c r="X71" s="260">
        <x:f t="shared" si="24"/>
        <x:v>-1863.7668981045877</x:v>
      </x:c>
      <x:c r="Y71" s="260">
        <x:f t="shared" si="25"/>
        <x:v>425.21541096921879</x:v>
      </x:c>
      <x:c r="Z71" s="260">
        <x:f t="shared" si="26"/>
        <x:v>-1199.9272394548591</x:v>
      </x:c>
      <x:c r="AA71" s="260">
        <x:f t="shared" si="27"/>
        <x:v>-1795.7947755983141</x:v>
      </x:c>
      <x:c r="AB71" s="260">
        <x:f t="shared" si="28"/>
        <x:v>675.87042878529667</x:v>
      </x:c>
      <x:c r="AC71" s="260">
        <x:f t="shared" si="29"/>
        <x:v>1271.7379649287516</x:v>
      </x:c>
      <x:c r="AD71" s="260"/>
      <x:c r="AE71" s="282">
        <x:f t="shared" si="39"/>
        <x:v>0</x:v>
      </x:c>
      <x:c r="AF71" s="282">
        <x:f t="shared" si="10"/>
        <x:v>-1048.1136213391248</x:v>
      </x:c>
      <x:c r="AJ71" s="272">
        <x:f t="shared" si="78"/>
        <x:v>239.98544789097184</x:v>
      </x:c>
      <x:c r="AK71" s="272">
        <x:f t="shared" si="79"/>
        <x:v>179.57947755983142</x:v>
      </x:c>
      <x:c r="AL71" s="272">
        <x:f t="shared" si="80"/>
        <x:v>67.587042878529672</x:v>
      </x:c>
      <x:c r="AM71" s="272">
        <x:f t="shared" si="81"/>
        <x:v>254.34759298575034</x:v>
      </x:c>
      <x:c r="AN71" s="272">
        <x:f t="shared" si="82"/>
        <x:v>119.71636766642817</x:v>
      </x:c>
      <x:c r="AO71" s="272">
        <x:f t="shared" si="83"/>
        <x:v>83.996964880322793</x:v>
      </x:c>
      <x:c r="AP71" s="272">
        <x:f t="shared" si="84"/>
        <x:v>186.37668981045877</x:v>
      </x:c>
      <x:c r="AQ71" s="272">
        <x:f t="shared" si="85"/>
        <x:v>-85.043082193843759</x:v>
      </x:c>
      <x:c r="AR71" s="272"/>
      <x:c r="AS71" s="286">
        <x:f t="shared" si="32"/>
        <x:v>741.49956131508327</x:v>
      </x:c>
      <x:c r="AT71" s="286">
        <x:f t="shared" si="33"/>
        <x:v>305.04694016336595</x:v>
      </x:c>
      <x:c r="AY71" s="279">
        <x:f t="shared" si="86"/>
        <x:v>-246.61257040140089</x:v>
      </x:c>
      <x:c r="AZ71" s="279">
        <x:f t="shared" si="87"/>
        <x:v>246.61257040140089</x:v>
      </x:c>
      <x:c r="BA71" s="279">
        <x:f t="shared" si="88"/>
        <x:v>494.62829438139283</x:v>
      </x:c>
      <x:c r="BB71" s="279">
        <x:f t="shared" si="89"/>
        <x:v>494.62829438139283</x:v>
      </x:c>
      <x:c r="BC71" s="279"/>
      <x:c r="BD71" s="289">
        <x:f t="shared" si="36"/>
        <x:v>0</x:v>
      </x:c>
      <x:c r="BE71" s="289">
        <x:f t="shared" si="37"/>
        <x:v>989.25658876278567</x:v>
      </x:c>
    </x:row>
    <x:row r="72" ht="15.75" customHeight="1">
      <x:c r="A72" s="21">
        <x:v>80</x:v>
      </x:c>
      <x:c r="B72" s="21">
        <x:f t="shared" si="19"/>
        <x:v>260</x:v>
      </x:c>
      <x:c r="C72" s="21">
        <x:f t="shared" si="0"/>
        <x:v>260</x:v>
      </x:c>
      <x:c r="D72" s="21">
        <x:f t="shared" si="20"/>
        <x:v>80</x:v>
      </x:c>
      <x:c r="E72" s="22" t="n">
        <x:f t="shared" ref="E72:H72" si="97">A72*PI()/180</x:f>
        <x:v>1.3962634015954636</x:v>
      </x:c>
      <x:c r="F72" s="22">
        <x:f t="shared" si="97"/>
        <x:v>4.5378560551852569</x:v>
      </x:c>
      <x:c r="G72" s="22">
        <x:f t="shared" si="97"/>
        <x:v>4.5378560551852569</x:v>
      </x:c>
      <x:c r="H72" s="22">
        <x:f t="shared" si="97"/>
        <x:v>1.3962634015954636</x:v>
      </x:c>
      <x:c r="I72" s="23"/>
      <x:c r="J72" s="23"/>
      <x:c r="K72" s="23"/>
      <x:c r="L72" s="249">
        <x:f t="shared" si="70"/>
        <x:v>1346.7635913997776</x:v>
      </x:c>
      <x:c r="M72" s="249">
        <x:f t="shared" si="71"/>
        <x:v>-1346.7635913997776</x:v>
      </x:c>
      <x:c r="N72" s="249">
        <x:f t="shared" si="72"/>
        <x:v>-1346.7635913997776</x:v>
      </x:c>
      <x:c r="O72" s="249">
        <x:f t="shared" si="73"/>
        <x:v>1346.7635913997776</x:v>
      </x:c>
      <x:c r="P72" s="249">
        <x:f t="shared" si="74"/>
        <x:v>-54.074264898649062</x:v>
      </x:c>
      <x:c r="Q72" s="249">
        <x:f t="shared" si="75"/>
        <x:v>-1354.5473972180012</x:v>
      </x:c>
      <x:c r="R72" s="249">
        <x:f t="shared" si="76"/>
        <x:v>-1354.5473972180012</x:v>
      </x:c>
      <x:c r="S72" s="249">
        <x:f t="shared" si="77"/>
        <x:v>-54.074264898649062</x:v>
      </x:c>
      <x:c r="T72" s="23"/>
      <x:c r="U72" s="23"/>
      <x:c r="V72" s="260">
        <x:f t="shared" si="22"/>
        <x:v>465.42600716574697</x:v>
      </x:c>
      <x:c r="W72" s="260">
        <x:f t="shared" si="23"/>
        <x:v>736.05450236494471</x:v>
      </x:c>
      <x:c r="X72" s="260">
        <x:f t="shared" si="24"/>
        <x:v>-1766.8227298473494</x:v>
      </x:c>
      <x:c r="Y72" s="260">
        <x:f t="shared" si="25"/>
        <x:v>565.34222031665774</x:v>
      </x:c>
      <x:c r="Z72" s="260">
        <x:f t="shared" si="26"/>
        <x:v>-1264.9406425196823</x:v>
      </x:c>
      <x:c r="AA72" s="260">
        <x:f t="shared" si="27"/>
        <x:v>-1762.6101644942316</x:v>
      </x:c>
      <x:c r="AB72" s="260">
        <x:f t="shared" si="28"/>
        <x:v>725.88446995706477</x:v>
      </x:c>
      <x:c r="AC72" s="260">
        <x:f t="shared" si="29"/>
        <x:v>1223.5539919316141</x:v>
      </x:c>
      <x:c r="AD72" s="260"/>
      <x:c r="AE72" s="282">
        <x:f t="shared" si="39"/>
        <x:v>0</x:v>
      </x:c>
      <x:c r="AF72" s="282">
        <x:f t="shared" si="10"/>
        <x:v>-1078.1123451252354</x:v>
      </x:c>
      <x:c r="AJ72" s="272">
        <x:f t="shared" si="78"/>
        <x:v>252.98812850393648</x:v>
      </x:c>
      <x:c r="AK72" s="272">
        <x:f t="shared" si="79"/>
        <x:v>176.26101644942318</x:v>
      </x:c>
      <x:c r="AL72" s="272">
        <x:f t="shared" si="80"/>
        <x:v>72.588446995706477</x:v>
      </x:c>
      <x:c r="AM72" s="272">
        <x:f t="shared" si="81"/>
        <x:v>244.71079838632284</x:v>
      </x:c>
      <x:c r="AN72" s="272">
        <x:f t="shared" si="82"/>
        <x:v>93.085201433149393</x:v>
      </x:c>
      <x:c r="AO72" s="272">
        <x:f t="shared" si="83"/>
        <x:v>73.605450236494477</x:v>
      </x:c>
      <x:c r="AP72" s="272">
        <x:f t="shared" si="84"/>
        <x:v>176.68227298473494</x:v>
      </x:c>
      <x:c r="AQ72" s="272">
        <x:f t="shared" si="85"/>
        <x:v>-113.06844406333155</x:v>
      </x:c>
      <x:c r="AR72" s="272"/>
      <x:c r="AS72" s="286">
        <x:f t="shared" si="32"/>
        <x:v>746.54839033538894</x:v>
      </x:c>
      <x:c r="AT72" s="286">
        <x:f t="shared" si="33"/>
        <x:v>230.30448059104728</x:v>
      </x:c>
      <x:c r="AY72" s="279">
        <x:f t="shared" si="86"/>
        <x:v>-211.50830894449032</x:v>
      </x:c>
      <x:c r="AZ72" s="279">
        <x:f t="shared" si="87"/>
        <x:v>211.50830894449032</x:v>
      </x:c>
      <x:c r="BA72" s="279">
        <x:f t="shared" si="88"/>
        <x:v>510.6262280083875</x:v>
      </x:c>
      <x:c r="BB72" s="279">
        <x:f t="shared" si="89"/>
        <x:v>510.6262280083875</x:v>
      </x:c>
      <x:c r="BC72" s="279"/>
      <x:c r="BD72" s="289">
        <x:f t="shared" si="36"/>
        <x:v>0</x:v>
      </x:c>
      <x:c r="BE72" s="289">
        <x:f t="shared" si="37"/>
        <x:v>1021.252456016775</x:v>
      </x:c>
    </x:row>
    <x:row r="73" ht="15.75" customHeight="1">
      <x:c r="A73" s="21">
        <x:v>82</x:v>
      </x:c>
      <x:c r="B73" s="21">
        <x:f t="shared" si="19"/>
        <x:v>262</x:v>
      </x:c>
      <x:c r="C73" s="21">
        <x:f t="shared" si="0"/>
        <x:v>262</x:v>
      </x:c>
      <x:c r="D73" s="21">
        <x:f t="shared" si="20"/>
        <x:v>82</x:v>
      </x:c>
      <x:c r="E73" s="22" t="n">
        <x:f t="shared" ref="E73:H73" si="98">A73*PI()/180</x:f>
        <x:v>1.43116998663535</x:v>
      </x:c>
      <x:c r="F73" s="22">
        <x:f t="shared" si="98"/>
        <x:v>4.572762640225144</x:v>
      </x:c>
      <x:c r="G73" s="22">
        <x:f t="shared" si="98"/>
        <x:v>4.572762640225144</x:v>
      </x:c>
      <x:c r="H73" s="22">
        <x:f t="shared" si="98"/>
        <x:v>1.43116998663535</x:v>
      </x:c>
      <x:c r="I73" s="23"/>
      <x:c r="J73" s="23"/>
      <x:c r="K73" s="23"/>
      <x:c r="L73" s="249">
        <x:f t="shared" si="70"/>
        <x:v>1354.2307893369991</x:v>
      </x:c>
      <x:c r="M73" s="249">
        <x:f t="shared" si="71"/>
        <x:v>-1354.2307893369994</x:v>
      </x:c>
      <x:c r="N73" s="249">
        <x:f t="shared" si="72"/>
        <x:v>-1354.2307893369994</x:v>
      </x:c>
      <x:c r="O73" s="249">
        <x:f t="shared" si="73"/>
        <x:v>1354.2307893369991</x:v>
      </x:c>
      <x:c r="P73" s="249">
        <x:f t="shared" si="74"/>
        <x:v>-199.33464570515139</x:v>
      </x:c>
      <x:c r="Q73" s="249">
        <x:f t="shared" si="75"/>
        <x:v>-1241.6195747603072</x:v>
      </x:c>
      <x:c r="R73" s="249">
        <x:f t="shared" si="76"/>
        <x:v>-1241.6195747603072</x:v>
      </x:c>
      <x:c r="S73" s="249">
        <x:f t="shared" si="77"/>
        <x:v>-199.33464570515139</x:v>
      </x:c>
      <x:c r="T73" s="23"/>
      <x:c r="U73" s="23"/>
      <x:c r="V73" s="260">
        <x:f t="shared" si="22"/>
        <x:v>334.08048739058955</x:v>
      </x:c>
      <x:c r="W73" s="260">
        <x:f t="shared" si="23"/>
        <x:v>628.86522560844753</x:v>
      </x:c>
      <x:c r="X73" s="260">
        <x:f t="shared" si="24"/>
        <x:v>-1665.3485989643832</x:v>
      </x:c>
      <x:c r="Y73" s="260">
        <x:f t="shared" si="25"/>
        <x:v>702.40288596534606</x:v>
      </x:c>
      <x:c r="Z73" s="260">
        <x:f t="shared" si="26"/>
        <x:v>-1327.4281749727841</x:v>
      </x:c>
      <x:c r="AA73" s="260">
        <x:f t="shared" si="27"/>
        <x:v>-1726.2933491260155</x:v>
      </x:c>
      <x:c r="AB73" s="260">
        <x:f t="shared" si="28"/>
        <x:v>775.99886800410025</x:v>
      </x:c>
      <x:c r="AC73" s="260">
        <x:f t="shared" si="29"/>
        <x:v>1174.8640421573311</x:v>
      </x:c>
      <x:c r="AD73" s="260"/>
      <x:c r="AE73" s="282">
        <x:f t="shared" si="39"/>
        <x:v>0</x:v>
      </x:c>
      <x:c r="AF73" s="282">
        <x:f t="shared" si="10"/>
        <x:v>-1102.8586139373685</x:v>
      </x:c>
      <x:c r="AJ73" s="272">
        <x:f t="shared" si="78"/>
        <x:v>265.48563499455685</x:v>
      </x:c>
      <x:c r="AK73" s="272">
        <x:f t="shared" si="79"/>
        <x:v>172.62933491260156</x:v>
      </x:c>
      <x:c r="AL73" s="272">
        <x:f t="shared" si="80"/>
        <x:v>77.599886800410033</x:v>
      </x:c>
      <x:c r="AM73" s="272">
        <x:f t="shared" si="81"/>
        <x:v>234.97280843146623</x:v>
      </x:c>
      <x:c r="AN73" s="272">
        <x:f t="shared" si="82"/>
        <x:v>66.816097478117911</x:v>
      </x:c>
      <x:c r="AO73" s="272">
        <x:f t="shared" si="83"/>
        <x:v>62.886522560844753</x:v>
      </x:c>
      <x:c r="AP73" s="272">
        <x:f t="shared" si="84"/>
        <x:v>166.53485989643832</x:v>
      </x:c>
      <x:c r="AQ73" s="272">
        <x:f t="shared" si="85"/>
        <x:v>-140.48057719306922</x:v>
      </x:c>
      <x:c r="AR73" s="272"/>
      <x:c r="AS73" s="286">
        <x:f t="shared" si="32"/>
        <x:v>750.68766513903461</x:v>
      </x:c>
      <x:c r="AT73" s="286">
        <x:f t="shared" si="33"/>
        <x:v>155.75690274233176</x:v>
      </x:c>
      <x:c r="AY73" s="279">
        <x:f t="shared" si="86"/>
        <x:v>-175.37360026714313</x:v>
      </x:c>
      <x:c r="AZ73" s="279">
        <x:f t="shared" si="87"/>
        <x:v>175.37360026714313</x:v>
      </x:c>
      <x:c r="BA73" s="279">
        <x:f t="shared" si="88"/>
        <x:v>524.13644198049428</x:v>
      </x:c>
      <x:c r="BB73" s="279">
        <x:f t="shared" si="89"/>
        <x:v>524.13644198049428</x:v>
      </x:c>
      <x:c r="BC73" s="279"/>
      <x:c r="BD73" s="289">
        <x:f t="shared" si="36"/>
        <x:v>0</x:v>
      </x:c>
      <x:c r="BE73" s="289">
        <x:f t="shared" si="37"/>
        <x:v>1048.2728839609886</x:v>
      </x:c>
    </x:row>
    <x:row r="74" ht="15.75" customHeight="1">
      <x:c r="A74" s="21">
        <x:v>84</x:v>
      </x:c>
      <x:c r="B74" s="21">
        <x:f t="shared" si="19"/>
        <x:v>264</x:v>
      </x:c>
      <x:c r="C74" s="21">
        <x:f t="shared" si="0"/>
        <x:v>264</x:v>
      </x:c>
      <x:c r="D74" s="21">
        <x:f t="shared" si="20"/>
        <x:v>84</x:v>
      </x:c>
      <x:c r="E74" s="22" t="n">
        <x:f t="shared" ref="E74:H74" si="99">A74*PI()/180</x:f>
        <x:v>1.4660765716752369</x:v>
      </x:c>
      <x:c r="F74" s="22">
        <x:f t="shared" si="99"/>
        <x:v>4.6076692252650302</x:v>
      </x:c>
      <x:c r="G74" s="22">
        <x:f t="shared" si="99"/>
        <x:v>4.6076692252650302</x:v>
      </x:c>
      <x:c r="H74" s="22">
        <x:f t="shared" si="99"/>
        <x:v>1.4660765716752369</x:v>
      </x:c>
      <x:c r="I74" s="23"/>
      <x:c r="J74" s="23"/>
      <x:c r="K74" s="23"/>
      <x:c r="L74" s="249">
        <x:f t="shared" si="70"/>
        <x:v>1360.0480656606753</x:v>
      </x:c>
      <x:c r="M74" s="249">
        <x:f t="shared" si="71"/>
        <x:v>-1360.0480656606753</x:v>
      </x:c>
      <x:c r="N74" s="249">
        <x:f t="shared" si="72"/>
        <x:v>-1360.0480656606753</x:v>
      </x:c>
      <x:c r="O74" s="249">
        <x:f t="shared" si="73"/>
        <x:v>1360.0480656606753</x:v>
      </x:c>
      <x:c r="P74" s="249">
        <x:f t="shared" si="74"/>
        <x:v>-341.7198662698919</x:v>
      </x:c>
      <x:c r="Q74" s="249">
        <x:f t="shared" si="75"/>
        <x:v>-1124.5467284264842</x:v>
      </x:c>
      <x:c r="R74" s="249">
        <x:f t="shared" si="76"/>
        <x:v>-1124.5467284264842</x:v>
      </x:c>
      <x:c r="S74" s="249">
        <x:f t="shared" si="77"/>
        <x:v>-341.7198662698919</x:v>
      </x:c>
      <x:c r="T74" s="23"/>
      <x:c r="U74" s="23"/>
      <x:c r="V74" s="260">
        <x:f t="shared" si="22"/>
        <x:v>204.75987164928108</x:v>
      </x:c>
      <x:c r="W74" s="260">
        <x:f t="shared" si="23"/>
        <x:v>518.47784379722884</x:v>
      </x:c>
      <x:c r="X74" s="260">
        <x:f t="shared" si="24"/>
        <x:v>-1559.4135676942853</x:v>
      </x:c>
      <x:c r="Y74" s="260">
        <x:f t="shared" si="25"/>
        <x:v>836.17585224777542</x:v>
      </x:c>
      <x:c r="Z74" s="260">
        <x:f t="shared" si="26"/>
        <x:v>-1387.2911024269661</x:v>
      </x:c>
      <x:c r="AA74" s="260">
        <x:f t="shared" si="27"/>
        <x:v>-1686.865972984644</x:v>
      </x:c>
      <x:c r="AB74" s="260">
        <x:f t="shared" si="28"/>
        <x:v>826.17516920628498</x:v>
      </x:c>
      <x:c r="AC74" s="260">
        <x:f t="shared" si="29"/>
        <x:v>1125.7500397639628</x:v>
      </x:c>
      <x:c r="AD74" s="260"/>
      <x:c r="AE74" s="282">
        <x:f t="shared" si="39"/>
        <x:v>0</x:v>
      </x:c>
      <x:c r="AF74" s="282">
        <x:f t="shared" si="10"/>
        <x:v>-1122.2318664413624</x:v>
      </x:c>
      <x:c r="AJ74" s="272">
        <x:f t="shared" si="78"/>
        <x:v>277.45822048539321</x:v>
      </x:c>
      <x:c r="AK74" s="272">
        <x:f t="shared" si="79"/>
        <x:v>168.68659729846442</x:v>
      </x:c>
      <x:c r="AL74" s="272">
        <x:f t="shared" si="80"/>
        <x:v>82.617516920628503</x:v>
      </x:c>
      <x:c r="AM74" s="272">
        <x:f t="shared" si="81"/>
        <x:v>225.15000795279258</x:v>
      </x:c>
      <x:c r="AN74" s="272">
        <x:f t="shared" si="82"/>
        <x:v>40.95197432985622</x:v>
      </x:c>
      <x:c r="AO74" s="272">
        <x:f t="shared" si="83"/>
        <x:v>51.847784379722889</x:v>
      </x:c>
      <x:c r="AP74" s="272">
        <x:f t="shared" si="84"/>
        <x:v>155.94135676942855</x:v>
      </x:c>
      <x:c r="AQ74" s="272">
        <x:f t="shared" si="85"/>
        <x:v>-167.23517044955508</x:v>
      </x:c>
      <x:c r="AR74" s="272"/>
      <x:c r="AS74" s="286">
        <x:f t="shared" si="32"/>
        <x:v>753.91234265727871</x:v>
      </x:c>
      <x:c r="AT74" s="286">
        <x:f t="shared" si="33"/>
        <x:v>81.505945029452562</x:v>
      </x:c>
      <x:c r="AY74" s="279">
        <x:f t="shared" si="86"/>
        <x:v>-138.38448903778752</x:v>
      </x:c>
      <x:c r="AZ74" s="279">
        <x:f t="shared" si="87"/>
        <x:v>138.38448903778752</x:v>
      </x:c>
      <x:c r="BA74" s="279">
        <x:f t="shared" si="88"/>
        <x:v>535.09311589328274</x:v>
      </x:c>
      <x:c r="BB74" s="279">
        <x:f t="shared" si="89"/>
        <x:v>535.09311589328274</x:v>
      </x:c>
      <x:c r="BC74" s="279"/>
      <x:c r="BD74" s="289">
        <x:f t="shared" si="36"/>
        <x:v>0</x:v>
      </x:c>
      <x:c r="BE74" s="289">
        <x:f t="shared" si="37"/>
        <x:v>1070.1862317865655</x:v>
      </x:c>
    </x:row>
    <x:row r="75" ht="15.75" customHeight="1">
      <x:c r="A75" s="21">
        <x:v>86</x:v>
      </x:c>
      <x:c r="B75" s="21">
        <x:f t="shared" si="19"/>
        <x:v>266</x:v>
      </x:c>
      <x:c r="C75" s="21">
        <x:f t="shared" si="0"/>
        <x:v>266</x:v>
      </x:c>
      <x:c r="D75" s="21">
        <x:f t="shared" si="20"/>
        <x:v>86</x:v>
      </x:c>
      <x:c r="E75" s="22" t="n">
        <x:f t="shared" ref="E75:H75" si="100">A75*PI()/180</x:f>
        <x:v>1.5009831567151233</x:v>
      </x:c>
      <x:c r="F75" s="22">
        <x:f t="shared" si="100"/>
        <x:v>4.6425758103049164</x:v>
      </x:c>
      <x:c r="G75" s="22">
        <x:f t="shared" si="100"/>
        <x:v>4.6425758103049164</x:v>
      </x:c>
      <x:c r="H75" s="22">
        <x:f t="shared" si="100"/>
        <x:v>1.5009831567151233</x:v>
      </x:c>
      <x:c r="I75" s="23"/>
      <x:c r="J75" s="23"/>
      <x:c r="K75" s="23"/>
      <x:c r="L75" s="249">
        <x:f t="shared" si="70"/>
        <x:v>1364.2083329156881</x:v>
      </x:c>
      <x:c r="M75" s="249">
        <x:f t="shared" si="71"/>
        <x:v>-1364.2083329156881</x:v>
      </x:c>
      <x:c r="N75" s="249">
        <x:f t="shared" si="72"/>
        <x:v>-1364.2083329156881</x:v>
      </x:c>
      <x:c r="O75" s="249">
        <x:f t="shared" si="73"/>
        <x:v>1364.2083329156881</x:v>
      </x:c>
      <x:c r="P75" s="249">
        <x:f t="shared" si="74"/>
        <x:v>-481.01021207740325</x:v>
      </x:c>
      <x:c r="Q75" s="249">
        <x:f t="shared" si="75"/>
        <x:v>-1003.4252533891303</x:v>
      </x:c>
      <x:c r="R75" s="249">
        <x:f t="shared" si="76"/>
        <x:v>-1003.4252533891303</x:v>
      </x:c>
      <x:c r="S75" s="249">
        <x:f t="shared" si="77"/>
        <x:v>-481.01021207740325</x:v>
      </x:c>
      <x:c r="T75" s="23"/>
      <x:c r="U75" s="23"/>
      <x:c r="V75" s="260">
        <x:f t="shared" si="22"/>
        <x:v>77.664437434006402</x:v>
      </x:c>
      <x:c r="W75" s="260">
        <x:f t="shared" si="23"/>
        <x:v>404.9841267099365</x:v>
      </x:c>
      <x:c r="X75" s="260">
        <x:f t="shared" si="24"/>
        <x:v>-1449.1039813124016</x:v>
      </x:c>
      <x:c r="Y75" s="260">
        <x:f t="shared" si="25"/>
        <x:v>966.45541716845878</x:v>
      </x:c>
      <x:c r="Z75" s="260">
        <x:f t="shared" si="26"/>
        <x:v>-1444.4387958225882</x:v>
      </x:c>
      <x:c r="AA75" s="260">
        <x:f t="shared" si="27"/>
        <x:v>-1644.35837695091</x:v>
      </x:c>
      <x:c r="AB75" s="260">
        <x:f t="shared" si="28"/>
        <x:v>876.36993677338523</x:v>
      </x:c>
      <x:c r="AC75" s="260">
        <x:f t="shared" si="29"/>
        <x:v>1076.2895179017071</x:v>
      </x:c>
      <x:c r="AD75" s="260"/>
      <x:c r="AE75" s="282">
        <x:f t="shared" si="39"/>
        <x:v>0</x:v>
      </x:c>
      <x:c r="AF75" s="282">
        <x:f t="shared" si="10"/>
        <x:v>-1136.1377180984061</x:v>
      </x:c>
      <x:c r="AJ75" s="272">
        <x:f t="shared" si="78"/>
        <x:v>288.88775916451766</x:v>
      </x:c>
      <x:c r="AK75" s="272">
        <x:f t="shared" si="79"/>
        <x:v>164.43583769509101</x:v>
      </x:c>
      <x:c r="AL75" s="272">
        <x:f t="shared" si="80"/>
        <x:v>87.636993677338523</x:v>
      </x:c>
      <x:c r="AM75" s="272">
        <x:f t="shared" si="81"/>
        <x:v>215.25790358034143</x:v>
      </x:c>
      <x:c r="AN75" s="272">
        <x:f t="shared" si="82"/>
        <x:v>15.532887486801281</x:v>
      </x:c>
      <x:c r="AO75" s="272">
        <x:f t="shared" si="83"/>
        <x:v>40.498412670993652</x:v>
      </x:c>
      <x:c r="AP75" s="272">
        <x:f t="shared" si="84"/>
        <x:v>144.91039813124016</x:v>
      </x:c>
      <x:c r="AQ75" s="272">
        <x:f t="shared" si="85"/>
        <x:v>-193.29108343369177</x:v>
      </x:c>
      <x:c r="AR75" s="272"/>
      <x:c r="AS75" s="286">
        <x:f t="shared" si="32"/>
        <x:v>756.21849411728863</x:v>
      </x:c>
      <x:c r="AT75" s="286">
        <x:f t="shared" si="33"/>
        <x:v>7.6506148553433206</x:v>
      </x:c>
      <x:c r="AY75" s="279">
        <x:f t="shared" si="86"/>
        <x:v>-100.72118248819953</x:v>
      </x:c>
      <x:c r="AZ75" s="279">
        <x:f t="shared" si="87"/>
        <x:v>100.72118248819953</x:v>
      </x:c>
      <x:c r="BA75" s="279">
        <x:f t="shared" si="88"/>
        <x:v>543.44286993281139</x:v>
      </x:c>
      <x:c r="BB75" s="279">
        <x:f t="shared" si="89"/>
        <x:v>543.44286993281139</x:v>
      </x:c>
      <x:c r="BC75" s="279"/>
      <x:c r="BD75" s="289">
        <x:f t="shared" si="36"/>
        <x:v>0</x:v>
      </x:c>
      <x:c r="BE75" s="289">
        <x:f t="shared" si="37"/>
        <x:v>1086.8857398656228</x:v>
      </x:c>
    </x:row>
    <x:row r="76" ht="15.75" customHeight="1">
      <x:c r="A76" s="21">
        <x:v>88</x:v>
      </x:c>
      <x:c r="B76" s="21">
        <x:f t="shared" si="19"/>
        <x:v>268</x:v>
      </x:c>
      <x:c r="C76" s="21">
        <x:f t="shared" si="0"/>
        <x:v>268</x:v>
      </x:c>
      <x:c r="D76" s="21">
        <x:f t="shared" si="20"/>
        <x:v>88</x:v>
      </x:c>
      <x:c r="E76" s="22" t="n">
        <x:f t="shared" ref="E76:H76" si="101">A76*PI()/180</x:f>
        <x:v>1.53588974175501</x:v>
      </x:c>
      <x:c r="F76" s="22">
        <x:f t="shared" si="101"/>
        <x:v>4.6774823953448026</x:v>
      </x:c>
      <x:c r="G76" s="22">
        <x:f t="shared" si="101"/>
        <x:v>4.6774823953448026</x:v>
      </x:c>
      <x:c r="H76" s="22">
        <x:f t="shared" si="101"/>
        <x:v>1.5358897417550099</x:v>
      </x:c>
      <x:c r="I76" s="23"/>
      <x:c r="J76" s="23"/>
      <x:c r="K76" s="23"/>
      <x:c r="L76" s="249">
        <x:f t="shared" si="70"/>
        <x:v>1366.7065224572277</x:v>
      </x:c>
      <x:c r="M76" s="249">
        <x:f t="shared" si="71"/>
        <x:v>-1366.7065224572275</x:v>
      </x:c>
      <x:c r="N76" s="249">
        <x:f t="shared" si="72"/>
        <x:v>-1366.7065224572275</x:v>
      </x:c>
      <x:c r="O76" s="249">
        <x:f t="shared" si="73"/>
        <x:v>1366.7065224572277</x:v>
      </x:c>
      <x:c r="P76" s="249">
        <x:f t="shared" si="74"/>
        <x:v>-617.00278882648968</x:v>
      </x:c>
      <x:c r="Q76" s="249">
        <x:f t="shared" si="75"/>
        <x:v>-878.36952703738052</x:v>
      </x:c>
      <x:c r="R76" s="249">
        <x:f t="shared" si="76"/>
        <x:v>-878.36952703738052</x:v>
      </x:c>
      <x:c r="S76" s="249">
        <x:f t="shared" si="77"/>
        <x:v>-617.00278882648968</x:v>
      </x:c>
      <x:c r="T76" s="23"/>
      <x:c r="U76" s="23"/>
      <x:c r="V76" s="260">
        <x:f t="shared" si="22"/>
        <x:v>-47.020305049489821</x:v>
      </x:c>
      <x:c r="W76" s="260">
        <x:f t="shared" si="23"/>
        <x:v>288.49168496176765</x:v>
      </x:c>
      <x:c r="X76" s="260">
        <x:f t="shared" si="24"/>
        <x:v>-1334.5235710611428</x:v>
      </x:c>
      <x:c r="Y76" s="260">
        <x:f t="shared" si="25"/>
        <x:v>1093.0521911488649</x:v>
      </x:c>
      <x:c r="Z76" s="260">
        <x:f t="shared" si="26"/>
        <x:v>-1498.7889280548638</x:v>
      </x:c>
      <x:c r="AA76" s="260">
        <x:f t="shared" si="27"/>
        <x:v>-1598.8096485394751</x:v>
      </x:c>
      <x:c r="AB76" s="260">
        <x:f t="shared" si="28"/>
        <x:v>926.5347175563445</x:v>
      </x:c>
      <x:c r="AC76" s="260">
        <x:f t="shared" si="29"/>
        <x:v>1026.5554380409562</x:v>
      </x:c>
      <x:c r="AD76" s="260"/>
      <x:c r="AE76" s="282">
        <x:f t="shared" si="39"/>
        <x:v>0</x:v>
      </x:c>
      <x:c r="AF76" s="282">
        <x:f t="shared" si="10"/>
        <x:v>-1144.5084209970378</x:v>
      </x:c>
      <x:c r="AJ76" s="272">
        <x:f t="shared" si="78"/>
        <x:v>299.7577856109728</x:v>
      </x:c>
      <x:c r="AK76" s="272">
        <x:f t="shared" si="79"/>
        <x:v>159.88096485394752</x:v>
      </x:c>
      <x:c r="AL76" s="272">
        <x:f t="shared" si="80"/>
        <x:v>92.653471755634456</x:v>
      </x:c>
      <x:c r="AM76" s="272">
        <x:f t="shared" si="81"/>
        <x:v>205.31108760819126</x:v>
      </x:c>
      <x:c r="AN76" s="272">
        <x:f t="shared" si="82"/>
        <x:v>-9.4040610098979638</x:v>
      </x:c>
      <x:c r="AO76" s="272">
        <x:f t="shared" si="83"/>
        <x:v>28.849168496176766</x:v>
      </x:c>
      <x:c r="AP76" s="272">
        <x:f t="shared" si="84"/>
        <x:v>133.45235710611428</x:v>
      </x:c>
      <x:c r="AQ76" s="272">
        <x:f t="shared" si="85"/>
        <x:v>-218.610438229773</x:v>
      </x:c>
      <x:c r="AR76" s="272"/>
      <x:c r="AS76" s="286">
        <x:f t="shared" si="32"/>
        <x:v>757.60330982874598</x:v>
      </x:c>
      <x:c r="AT76" s="286">
        <x:f t="shared" si="33"/>
        <x:v>-65.712973637379918</x:v>
      </x:c>
      <x:c r="AY76" s="279">
        <x:f t="shared" si="86"/>
        <x:v>-62.5671724619869</x:v>
      </x:c>
      <x:c r="AZ76" s="279">
        <x:f t="shared" si="87"/>
        <x:v>62.5671724619869</x:v>
      </x:c>
      <x:c r="BA76" s="279">
        <x:f t="shared" si="88"/>
        <x:v>549.14502493671353</x:v>
      </x:c>
      <x:c r="BB76" s="279">
        <x:f t="shared" si="89"/>
        <x:v>549.14502493671353</x:v>
      </x:c>
      <x:c r="BC76" s="279"/>
      <x:c r="BD76" s="289">
        <x:f t="shared" si="36"/>
        <x:v>0</x:v>
      </x:c>
      <x:c r="BE76" s="289">
        <x:f t="shared" si="37"/>
        <x:v>1098.2900498734271</x:v>
      </x:c>
    </x:row>
    <x:row r="77" ht="15.75" customHeight="1">
      <x:c r="A77" s="21">
        <x:v>90</x:v>
      </x:c>
      <x:c r="B77" s="21">
        <x:f t="shared" si="19"/>
        <x:v>270</x:v>
      </x:c>
      <x:c r="C77" s="21">
        <x:f t="shared" si="0"/>
        <x:v>270</x:v>
      </x:c>
      <x:c r="D77" s="21">
        <x:f t="shared" si="20"/>
        <x:v>90</x:v>
      </x:c>
      <x:c r="E77" s="22" t="n">
        <x:f t="shared" ref="E77:H77" si="102">A77*PI()/180</x:f>
        <x:v>1.5707963267948966</x:v>
      </x:c>
      <x:c r="F77" s="22">
        <x:f t="shared" si="102"/>
        <x:v>4.7123889803846897</x:v>
      </x:c>
      <x:c r="G77" s="22">
        <x:f t="shared" si="102"/>
        <x:v>4.7123889803846897</x:v>
      </x:c>
      <x:c r="H77" s="22">
        <x:f t="shared" si="102"/>
        <x:v>1.5707963267948966</x:v>
      </x:c>
      <x:c r="I77" s="23"/>
      <x:c r="J77" s="23"/>
      <x:c r="K77" s="23"/>
      <x:c r="L77" s="249">
        <x:f t="shared" si="70"/>
        <x:v>1367.539590626154</x:v>
      </x:c>
      <x:c r="M77" s="249">
        <x:f t="shared" si="71"/>
        <x:v>-1367.539590626154</x:v>
      </x:c>
      <x:c r="N77" s="249">
        <x:f t="shared" si="72"/>
        <x:v>-1367.539590626154</x:v>
      </x:c>
      <x:c r="O77" s="249">
        <x:f t="shared" si="73"/>
        <x:v>1367.539590626154</x:v>
      </x:c>
      <x:c r="P77" s="249">
        <x:f t="shared" si="74"/>
        <x:v>-749.51193132630681</x:v>
      </x:c>
      <x:c r="Q77" s="249">
        <x:f t="shared" si="75"/>
        <x:v>-749.51193132630772</x:v>
      </x:c>
      <x:c r="R77" s="249">
        <x:f t="shared" si="76"/>
        <x:v>-749.51193132630772</x:v>
      </x:c>
      <x:c r="S77" s="249">
        <x:f t="shared" si="77"/>
        <x:v>-749.51193132630681</x:v>
      </x:c>
      <x:c r="T77" s="23"/>
      <x:c r="U77" s="23"/>
      <x:c r="V77" s="260">
        <x:f t="shared" si="22"/>
        <x:v>-169.12398828941355</x:v>
      </x:c>
      <x:c r="W77" s="260">
        <x:f t="shared" si="23"/>
        <x:v>169.12398828941446</x:v>
      </x:c>
      <x:c r="X77" s="260">
        <x:f t="shared" si="24"/>
        <x:v>-1215.7934771613473</x:v>
      </x:c>
      <x:c r="Y77" s="260">
        <x:f t="shared" si="25"/>
        <x:v>1215.7934771613463</x:v>
      </x:c>
      <x:c r="Z77" s="260">
        <x:f t="shared" si="26"/>
        <x:v>-1550.2676361569063</x:v>
      </x:c>
      <x:c r="AA77" s="260">
        <x:f t="shared" si="27"/>
        <x:v>-1550.2676361569065</x:v>
      </x:c>
      <x:c r="AB77" s="260">
        <x:f t="shared" si="28"/>
        <x:v>976.61603919982872</x:v>
      </x:c>
      <x:c r="AC77" s="260">
        <x:f t="shared" si="29"/>
        <x:v>976.61603919982895</x:v>
      </x:c>
      <x:c r="AD77" s="260"/>
      <x:c r="AE77" s="282">
        <x:f t="shared" si="39"/>
        <x:v>0</x:v>
      </x:c>
      <x:c r="AF77" s="282">
        <x:f t="shared" si="10"/>
        <x:v>-1147.3031939141554</x:v>
      </x:c>
      <x:c r="AJ77" s="272">
        <x:f t="shared" si="78"/>
        <x:v>310.05352723138128</x:v>
      </x:c>
      <x:c r="AK77" s="272">
        <x:f t="shared" si="79"/>
        <x:v>155.02676361569067</x:v>
      </x:c>
      <x:c r="AL77" s="272">
        <x:f t="shared" si="80"/>
        <x:v>97.66160391998288</x:v>
      </x:c>
      <x:c r="AM77" s="272">
        <x:f t="shared" si="81"/>
        <x:v>195.32320783996579</x:v>
      </x:c>
      <x:c r="AN77" s="272">
        <x:f t="shared" si="82"/>
        <x:v>-33.824797657882712</x:v>
      </x:c>
      <x:c r="AO77" s="272">
        <x:f t="shared" si="83"/>
        <x:v>16.912398828941445</x:v>
      </x:c>
      <x:c r="AP77" s="272">
        <x:f t="shared" si="84"/>
        <x:v>121.57934771613473</x:v>
      </x:c>
      <x:c r="AQ77" s="272">
        <x:f t="shared" si="85"/>
        <x:v>-243.15869543226927</x:v>
      </x:c>
      <x:c r="AR77" s="272"/>
      <x:c r="AS77" s="286">
        <x:f t="shared" si="32"/>
        <x:v>758.06510260702066</x:v>
      </x:c>
      <x:c r="AT77" s="286">
        <x:f t="shared" si="33"/>
        <x:v>-138.49174654507578</x:v>
      </x:c>
      <x:c r="AY77" s="279">
        <x:f t="shared" si="86"/>
        <x:v>-24.108341460769648</x:v>
      </x:c>
      <x:c r="AZ77" s="279">
        <x:f t="shared" si="87"/>
        <x:v>24.108341460769648</x:v>
      </x:c>
      <x:c r="BA77" s="279">
        <x:f t="shared" si="88"/>
        <x:v>552.17180057898884</x:v>
      </x:c>
      <x:c r="BB77" s="279">
        <x:f t="shared" si="89"/>
        <x:v>552.17180057898884</x:v>
      </x:c>
      <x:c r="BC77" s="279"/>
      <x:c r="BD77" s="289">
        <x:f t="shared" si="36"/>
        <x:v>0</x:v>
      </x:c>
      <x:c r="BE77" s="289">
        <x:f t="shared" si="37"/>
        <x:v>1104.3436011579777</x:v>
      </x:c>
    </x:row>
    <x:row r="78" ht="15.75" customHeight="1">
      <x:c r="A78" s="21">
        <x:v>92</x:v>
      </x:c>
      <x:c r="B78" s="21">
        <x:f t="shared" si="19"/>
        <x:v>272</x:v>
      </x:c>
      <x:c r="C78" s="21">
        <x:f t="shared" si="0"/>
        <x:v>272</x:v>
      </x:c>
      <x:c r="D78" s="21">
        <x:f t="shared" si="20"/>
        <x:v>92</x:v>
      </x:c>
      <x:c r="E78" s="22" t="n">
        <x:f t="shared" ref="E78:H78" si="103">A78*PI()/180</x:f>
        <x:v>1.605702911834783</x:v>
      </x:c>
      <x:c r="F78" s="22">
        <x:f t="shared" si="103"/>
        <x:v>4.7472955654245768</x:v>
      </x:c>
      <x:c r="G78" s="22">
        <x:f t="shared" si="103"/>
        <x:v>4.7472955654245768</x:v>
      </x:c>
      <x:c r="H78" s="22">
        <x:f t="shared" si="103"/>
        <x:v>1.605702911834783</x:v>
      </x:c>
      <x:c r="I78" s="23"/>
      <x:c r="J78" s="23"/>
      <x:c r="K78" s="23"/>
      <x:c r="L78" s="249">
        <x:f t="shared" si="70"/>
        <x:v>1366.7065224572277</x:v>
      </x:c>
      <x:c r="M78" s="249">
        <x:f t="shared" si="71"/>
        <x:v>-1366.7065224572277</x:v>
      </x:c>
      <x:c r="N78" s="249">
        <x:f t="shared" si="72"/>
        <x:v>-1366.7065224572277</x:v>
      </x:c>
      <x:c r="O78" s="249">
        <x:f t="shared" si="73"/>
        <x:v>1366.7065224572277</x:v>
      </x:c>
      <x:c r="P78" s="249">
        <x:f t="shared" si="74"/>
        <x:v>-878.36952703737722</x:v>
      </x:c>
      <x:c r="Q78" s="249">
        <x:f t="shared" si="75"/>
        <x:v>-617.002788826489</x:v>
      </x:c>
      <x:c r="R78" s="249">
        <x:f t="shared" si="76"/>
        <x:v>-617.002788826489</x:v>
      </x:c>
      <x:c r="S78" s="249">
        <x:f t="shared" si="77"/>
        <x:v>-878.36952703737722</x:v>
      </x:c>
      <x:c r="T78" s="23"/>
      <x:c r="U78" s="23"/>
      <x:c r="V78" s="260">
        <x:f t="shared" si="22"/>
        <x:v>-288.49168496176446</x:v>
      </x:c>
      <x:c r="W78" s="260">
        <x:f t="shared" si="23"/>
        <x:v>47.020305049489252</x:v>
      </x:c>
      <x:c r="X78" s="260">
        <x:f t="shared" si="24"/>
        <x:v>-1093.0521911488645</x:v>
      </x:c>
      <x:c r="Y78" s="260">
        <x:f t="shared" si="25"/>
        <x:v>1334.5235710611396</x:v>
      </x:c>
      <x:c r="Z78" s="260">
        <x:f t="shared" si="26"/>
        <x:v>-1598.8096485394742</x:v>
      </x:c>
      <x:c r="AA78" s="260">
        <x:f t="shared" si="27"/>
        <x:v>-1498.7889280548636</x:v>
      </x:c>
      <x:c r="AB78" s="260">
        <x:f t="shared" si="28"/>
        <x:v>1026.5554380409565</x:v>
      </x:c>
      <x:c r="AC78" s="260">
        <x:f t="shared" si="29"/>
        <x:v>926.53471755634587</x:v>
      </x:c>
      <x:c r="AD78" s="260"/>
      <x:c r="AE78" s="282">
        <x:f t="shared" si="39"/>
        <x:v>0</x:v>
      </x:c>
      <x:c r="AF78" s="282">
        <x:f t="shared" si="10"/>
        <x:v>-1144.5084209970353</x:v>
      </x:c>
      <x:c r="AJ78" s="272">
        <x:f t="shared" si="78"/>
        <x:v>319.76192970789486</x:v>
      </x:c>
      <x:c r="AK78" s="272">
        <x:f t="shared" si="79"/>
        <x:v>149.87889280548637</x:v>
      </x:c>
      <x:c r="AL78" s="272">
        <x:f t="shared" si="80"/>
        <x:v>102.65554380409566</x:v>
      </x:c>
      <x:c r="AM78" s="272">
        <x:f t="shared" si="81"/>
        <x:v>185.3069435112692</x:v>
      </x:c>
      <x:c r="AN78" s="272">
        <x:f t="shared" si="82"/>
        <x:v>-57.698336992352893</x:v>
      </x:c>
      <x:c r="AO78" s="272">
        <x:f t="shared" si="83"/>
        <x:v>4.702030504948925</x:v>
      </x:c>
      <x:c r="AP78" s="272">
        <x:f t="shared" si="84"/>
        <x:v>109.30521911488646</x:v>
      </x:c>
      <x:c r="AQ78" s="272">
        <x:f t="shared" si="85"/>
        <x:v>-266.90471421222793</x:v>
      </x:c>
      <x:c r="AR78" s="272"/>
      <x:c r="AS78" s="286">
        <x:f t="shared" si="32"/>
        <x:v>757.60330982874609</x:v>
      </x:c>
      <x:c r="AT78" s="286">
        <x:f t="shared" si="33"/>
        <x:v>-210.59580158474546</x:v>
      </x:c>
      <x:c r="AY78" s="279">
        <x:f t="shared" si="86"/>
        <x:v>14.467942956682464</x:v>
      </x:c>
      <x:c r="AZ78" s="279">
        <x:f t="shared" si="87"/>
        <x:v>-14.467942956682464</x:v>
      </x:c>
      <x:c r="BA78" s="279">
        <x:f t="shared" si="88"/>
        <x:v>552.50845071295862</x:v>
      </x:c>
      <x:c r="BB78" s="279">
        <x:f t="shared" si="89"/>
        <x:v>552.50845071295862</x:v>
      </x:c>
      <x:c r="BC78" s="279"/>
      <x:c r="BD78" s="289">
        <x:f t="shared" si="36"/>
        <x:v>0</x:v>
      </x:c>
      <x:c r="BE78" s="289">
        <x:f t="shared" si="37"/>
        <x:v>1105.0169014259172</x:v>
      </x:c>
    </x:row>
    <x:row r="79" ht="15.75" customHeight="1">
      <x:c r="A79" s="21">
        <x:v>94</x:v>
      </x:c>
      <x:c r="B79" s="21">
        <x:f t="shared" si="19"/>
        <x:v>274</x:v>
      </x:c>
      <x:c r="C79" s="21">
        <x:f t="shared" si="0"/>
        <x:v>274</x:v>
      </x:c>
      <x:c r="D79" s="21">
        <x:f t="shared" si="20"/>
        <x:v>94</x:v>
      </x:c>
      <x:c r="E79" s="22" t="n">
        <x:f t="shared" ref="E79:H79" si="104">A79*PI()/180</x:f>
        <x:v>1.6406094968746698</x:v>
      </x:c>
      <x:c r="F79" s="22">
        <x:f t="shared" si="104"/>
        <x:v>4.782202150464463</x:v>
      </x:c>
      <x:c r="G79" s="22">
        <x:f t="shared" si="104"/>
        <x:v>4.782202150464463</x:v>
      </x:c>
      <x:c r="H79" s="22">
        <x:f t="shared" si="104"/>
        <x:v>1.6406094968746698</x:v>
      </x:c>
      <x:c r="I79" s="23"/>
      <x:c r="J79" s="23"/>
      <x:c r="K79" s="23"/>
      <x:c r="L79" s="249">
        <x:f t="shared" si="70"/>
        <x:v>1364.2083329156881</x:v>
      </x:c>
      <x:c r="M79" s="249">
        <x:f t="shared" si="71"/>
        <x:v>-1364.2083329156883</x:v>
      </x:c>
      <x:c r="N79" s="249">
        <x:f t="shared" si="72"/>
        <x:v>-1364.2083329156883</x:v>
      </x:c>
      <x:c r="O79" s="249">
        <x:f t="shared" si="73"/>
        <x:v>1364.2083329156881</x:v>
      </x:c>
      <x:c r="P79" s="249">
        <x:f t="shared" si="74"/>
        <x:v>-1003.4252533891294</x:v>
      </x:c>
      <x:c r="Q79" s="249">
        <x:f t="shared" si="75"/>
        <x:v>-481.01021207740416</x:v>
      </x:c>
      <x:c r="R79" s="249">
        <x:f t="shared" si="76"/>
        <x:v>-481.01021207740416</x:v>
      </x:c>
      <x:c r="S79" s="249">
        <x:f t="shared" si="77"/>
        <x:v>-1003.4252533891294</x:v>
      </x:c>
      <x:c r="T79" s="23"/>
      <x:c r="U79" s="23"/>
      <x:c r="V79" s="260">
        <x:f t="shared" si="22"/>
        <x:v>-404.98412670993559</x:v>
      </x:c>
      <x:c r="W79" s="260">
        <x:f t="shared" si="23"/>
        <x:v>-77.664437434005663</x:v>
      </x:c>
      <x:c r="X79" s="260">
        <x:f t="shared" si="24"/>
        <x:v>-966.4554171684598</x:v>
      </x:c>
      <x:c r="Y79" s="260">
        <x:f t="shared" si="25"/>
        <x:v>1449.1039813124007</x:v>
      </x:c>
      <x:c r="Z79" s="260">
        <x:f t="shared" si="26"/>
        <x:v>-1644.3583769509096</x:v>
      </x:c>
      <x:c r="AA79" s="260">
        <x:f t="shared" si="27"/>
        <x:v>-1444.4387958225886</x:v>
      </x:c>
      <x:c r="AB79" s="260">
        <x:f t="shared" si="28"/>
        <x:v>1076.2895179017071</x:v>
      </x:c>
      <x:c r="AC79" s="260">
        <x:f t="shared" si="29"/>
        <x:v>876.36993677338569</x:v>
      </x:c>
      <x:c r="AD79" s="260"/>
      <x:c r="AE79" s="282">
        <x:f t="shared" si="39"/>
        <x:v>0</x:v>
      </x:c>
      <x:c r="AF79" s="282">
        <x:f t="shared" si="10"/>
        <x:v>-1136.1377180984057</x:v>
      </x:c>
      <x:c r="AJ79" s="272">
        <x:f t="shared" si="78"/>
        <x:v>328.87167539018196</x:v>
      </x:c>
      <x:c r="AK79" s="272">
        <x:f t="shared" si="79"/>
        <x:v>144.44387958225886</x:v>
      </x:c>
      <x:c r="AL79" s="272">
        <x:f t="shared" si="80"/>
        <x:v>107.62895179017072</x:v>
      </x:c>
      <x:c r="AM79" s="272">
        <x:f t="shared" si="81"/>
        <x:v>175.27398735467716</x:v>
      </x:c>
      <x:c r="AN79" s="272">
        <x:f t="shared" si="82"/>
        <x:v>-80.996825341987119</x:v>
      </x:c>
      <x:c r="AO79" s="272">
        <x:f t="shared" si="83"/>
        <x:v>-7.7664437434005666</x:v>
      </x:c>
      <x:c r="AP79" s="272">
        <x:f t="shared" si="84"/>
        <x:v>96.645541716845983</x:v>
      </x:c>
      <x:c r="AQ79" s="272">
        <x:f t="shared" si="85"/>
        <x:v>-289.82079626248014</x:v>
      </x:c>
      <x:c r="AR79" s="272"/>
      <x:c r="AS79" s="286">
        <x:f t="shared" si="32"/>
        <x:v>756.21849411728874</x:v>
      </x:c>
      <x:c r="AT79" s="286">
        <x:f t="shared" si="33"/>
        <x:v>-281.93852363102184</x:v>
      </x:c>
      <x:c r="AY79" s="279">
        <x:f t="shared" si="86"/>
        <x:v>52.973741010362154</x:v>
      </x:c>
      <x:c r="AZ79" s="279">
        <x:f t="shared" si="87"/>
        <x:v>-52.973741010362154</x:v>
      </x:c>
      <x:c r="BA79" s="279">
        <x:f t="shared" si="88"/>
        <x:v>550.15333521301022</x:v>
      </x:c>
      <x:c r="BB79" s="279">
        <x:f t="shared" si="89"/>
        <x:v>550.15333521301022</x:v>
      </x:c>
      <x:c r="BC79" s="279"/>
      <x:c r="BD79" s="289">
        <x:f t="shared" si="36"/>
        <x:v>0</x:v>
      </x:c>
      <x:c r="BE79" s="289">
        <x:f t="shared" si="37"/>
        <x:v>1100.3066704260204</x:v>
      </x:c>
    </x:row>
    <x:row r="80" ht="15.75" customHeight="1">
      <x:c r="A80" s="21">
        <x:v>96</x:v>
      </x:c>
      <x:c r="B80" s="21">
        <x:f t="shared" si="19"/>
        <x:v>276</x:v>
      </x:c>
      <x:c r="C80" s="21">
        <x:f t="shared" si="0"/>
        <x:v>276</x:v>
      </x:c>
      <x:c r="D80" s="21">
        <x:f t="shared" si="20"/>
        <x:v>96</x:v>
      </x:c>
      <x:c r="E80" s="22" t="n">
        <x:f t="shared" ref="E80:H80" si="105">A80*PI()/180</x:f>
        <x:v>1.6755160819145563</x:v>
      </x:c>
      <x:c r="F80" s="22">
        <x:f t="shared" si="105"/>
        <x:v>4.8171087355043491</x:v>
      </x:c>
      <x:c r="G80" s="22">
        <x:f t="shared" si="105"/>
        <x:v>4.8171087355043491</x:v>
      </x:c>
      <x:c r="H80" s="22">
        <x:f t="shared" si="105"/>
        <x:v>1.6755160819145563</x:v>
      </x:c>
      <x:c r="I80" s="23"/>
      <x:c r="J80" s="23"/>
      <x:c r="K80" s="23"/>
      <x:c r="L80" s="249">
        <x:f t="shared" si="70"/>
        <x:v>1360.0480656606753</x:v>
      </x:c>
      <x:c r="M80" s="249">
        <x:f t="shared" si="71"/>
        <x:v>-1360.0480656606753</x:v>
      </x:c>
      <x:c r="N80" s="249">
        <x:f t="shared" si="72"/>
        <x:v>-1360.0480656606753</x:v>
      </x:c>
      <x:c r="O80" s="249">
        <x:f t="shared" si="73"/>
        <x:v>1360.0480656606753</x:v>
      </x:c>
      <x:c r="P80" s="249">
        <x:f t="shared" si="74"/>
        <x:v>-1124.5467284264842</x:v>
      </x:c>
      <x:c r="Q80" s="249">
        <x:f t="shared" si="75"/>
        <x:v>-341.71986626989366</x:v>
      </x:c>
      <x:c r="R80" s="249">
        <x:f t="shared" si="76"/>
        <x:v>-341.71986626989366</x:v>
      </x:c>
      <x:c r="S80" s="249">
        <x:f t="shared" si="77"/>
        <x:v>-1124.5467284264842</x:v>
      </x:c>
      <x:c r="T80" s="23"/>
      <x:c r="U80" s="23"/>
      <x:c r="V80" s="260">
        <x:f t="shared" si="22"/>
        <x:v>-518.47784379722884</x:v>
      </x:c>
      <x:c r="W80" s="260">
        <x:f t="shared" si="23"/>
        <x:v>-204.75987164927949</x:v>
      </x:c>
      <x:c r="X80" s="260">
        <x:f t="shared" si="24"/>
        <x:v>-836.17585224777702</x:v>
      </x:c>
      <x:c r="Y80" s="260">
        <x:f t="shared" si="25"/>
        <x:v>1559.4135676942853</x:v>
      </x:c>
      <x:c r="Z80" s="260">
        <x:f t="shared" si="26"/>
        <x:v>-1686.865972984644</x:v>
      </x:c>
      <x:c r="AA80" s="260">
        <x:f t="shared" si="27"/>
        <x:v>-1387.2911024269667</x:v>
      </x:c>
      <x:c r="AB80" s="260">
        <x:f t="shared" si="28"/>
        <x:v>1125.7500397639621</x:v>
      </x:c>
      <x:c r="AC80" s="260">
        <x:f t="shared" si="29"/>
        <x:v>826.17516920628498</x:v>
      </x:c>
      <x:c r="AD80" s="260"/>
      <x:c r="AE80" s="282">
        <x:f t="shared" si="39"/>
        <x:v>0</x:v>
      </x:c>
      <x:c r="AF80" s="282">
        <x:f t="shared" si="10"/>
        <x:v>-1122.2318664413638</x:v>
      </x:c>
      <x:c r="AJ80" s="272">
        <x:f t="shared" si="78"/>
        <x:v>337.37319459692884</x:v>
      </x:c>
      <x:c r="AK80" s="272">
        <x:f t="shared" si="79"/>
        <x:v>138.72911024269669</x:v>
      </x:c>
      <x:c r="AL80" s="272">
        <x:f t="shared" si="80"/>
        <x:v>112.57500397639622</x:v>
      </x:c>
      <x:c r="AM80" s="272">
        <x:f t="shared" si="81"/>
        <x:v>165.23503384125701</x:v>
      </x:c>
      <x:c r="AN80" s="272">
        <x:f t="shared" si="82"/>
        <x:v>-103.69556875944578</x:v>
      </x:c>
      <x:c r="AO80" s="272">
        <x:f t="shared" si="83"/>
        <x:v>-20.47598716492795</x:v>
      </x:c>
      <x:c r="AP80" s="272">
        <x:f t="shared" si="84"/>
        <x:v>83.617585224777713</x:v>
      </x:c>
      <x:c r="AQ80" s="272">
        <x:f t="shared" si="85"/>
        <x:v>-311.8827135388571</x:v>
      </x:c>
      <x:c r="AR80" s="272"/>
      <x:c r="AS80" s="286">
        <x:f t="shared" si="32"/>
        <x:v>753.91234265727871</x:v>
      </x:c>
      <x:c r="AT80" s="286">
        <x:f t="shared" si="33"/>
        <x:v>-352.43668423845315</x:v>
      </x:c>
      <x:c r="AY80" s="279">
        <x:f t="shared" si="86"/>
        <x:v>91.22145632274119</x:v>
      </x:c>
      <x:c r="AZ80" s="279">
        <x:f t="shared" si="87"/>
        <x:v>-91.22145632274119</x:v>
      </x:c>
      <x:c r="BA80" s="279">
        <x:f t="shared" si="88"/>
        <x:v>545.11792796512384</x:v>
      </x:c>
      <x:c r="BB80" s="279">
        <x:f t="shared" si="89"/>
        <x:v>545.11792796512384</x:v>
      </x:c>
      <x:c r="BC80" s="279"/>
      <x:c r="BD80" s="289">
        <x:f t="shared" si="36"/>
        <x:v>0</x:v>
      </x:c>
      <x:c r="BE80" s="289">
        <x:f t="shared" si="37"/>
        <x:v>1090.2358559302477</x:v>
      </x:c>
    </x:row>
    <x:row r="81" ht="15.75" customHeight="1">
      <x:c r="A81" s="21">
        <x:v>98</x:v>
      </x:c>
      <x:c r="B81" s="21">
        <x:f t="shared" si="19"/>
        <x:v>278</x:v>
      </x:c>
      <x:c r="C81" s="21">
        <x:f t="shared" si="0"/>
        <x:v>278</x:v>
      </x:c>
      <x:c r="D81" s="21">
        <x:f t="shared" si="20"/>
        <x:v>98</x:v>
      </x:c>
      <x:c r="E81" s="22" t="n">
        <x:f t="shared" ref="E81:H81" si="106">A81*PI()/180</x:f>
        <x:v>1.710422666954443</x:v>
      </x:c>
      <x:c r="F81" s="22">
        <x:f t="shared" si="106"/>
        <x:v>4.8520153205442362</x:v>
      </x:c>
      <x:c r="G81" s="22">
        <x:f t="shared" si="106"/>
        <x:v>4.8520153205442362</x:v>
      </x:c>
      <x:c r="H81" s="22">
        <x:f t="shared" si="106"/>
        <x:v>1.7104226669544429</x:v>
      </x:c>
      <x:c r="I81" s="23"/>
      <x:c r="J81" s="23"/>
      <x:c r="K81" s="23"/>
      <x:c r="L81" s="249">
        <x:f t="shared" si="70"/>
        <x:v>1354.2307893369994</x:v>
      </x:c>
      <x:c r="M81" s="249">
        <x:f t="shared" si="71"/>
        <x:v>-1354.2307893369994</x:v>
      </x:c>
      <x:c r="N81" s="249">
        <x:f t="shared" si="72"/>
        <x:v>-1354.2307893369994</x:v>
      </x:c>
      <x:c r="O81" s="249">
        <x:f t="shared" si="73"/>
        <x:v>1354.2307893369994</x:v>
      </x:c>
      <x:c r="P81" s="249">
        <x:f t="shared" si="74"/>
        <x:v>-1241.6195747603088</x:v>
      </x:c>
      <x:c r="Q81" s="249">
        <x:f t="shared" si="75"/>
        <x:v>-199.33464570515252</x:v>
      </x:c>
      <x:c r="R81" s="249">
        <x:f t="shared" si="76"/>
        <x:v>-199.33464570515252</x:v>
      </x:c>
      <x:c r="S81" s="249">
        <x:f t="shared" si="77"/>
        <x:v>-1241.6195747603088</x:v>
      </x:c>
      <x:c r="T81" s="23"/>
      <x:c r="U81" s="23"/>
      <x:c r="V81" s="260">
        <x:f t="shared" si="22"/>
        <x:v>-628.8652256084489</x:v>
      </x:c>
      <x:c r="W81" s="260">
        <x:f t="shared" si="23"/>
        <x:v>-334.08048739058847</x:v>
      </x:c>
      <x:c r="X81" s="260">
        <x:f t="shared" si="24"/>
        <x:v>-702.40288596534708</x:v>
      </x:c>
      <x:c r="Y81" s="260">
        <x:f t="shared" si="25"/>
        <x:v>1665.3485989643846</x:v>
      </x:c>
      <x:c r="Z81" s="260">
        <x:f t="shared" si="26"/>
        <x:v>-1726.293349126016</x:v>
      </x:c>
      <x:c r="AA81" s="260">
        <x:f t="shared" si="27"/>
        <x:v>-1327.4281749727847</x:v>
      </x:c>
      <x:c r="AB81" s="260">
        <x:f t="shared" si="28"/>
        <x:v>1174.8640421573309</x:v>
      </x:c>
      <x:c r="AC81" s="260">
        <x:f t="shared" si="29"/>
        <x:v>775.99886800409968</x:v>
      </x:c>
      <x:c r="AD81" s="260"/>
      <x:c r="AE81" s="282">
        <x:f t="shared" si="39"/>
        <x:v>0</x:v>
      </x:c>
      <x:c r="AF81" s="282">
        <x:f t="shared" si="10"/>
        <x:v>-1102.8586139373701</x:v>
      </x:c>
      <x:c r="AJ81" s="272">
        <x:f t="shared" si="78"/>
        <x:v>345.25866982520324</x:v>
      </x:c>
      <x:c r="AK81" s="272">
        <x:f t="shared" si="79"/>
        <x:v>132.74281749727848</x:v>
      </x:c>
      <x:c r="AL81" s="272">
        <x:f t="shared" si="80"/>
        <x:v>117.4864042157331</x:v>
      </x:c>
      <x:c r="AM81" s="272">
        <x:f t="shared" si="81"/>
        <x:v>155.19977360081995</x:v>
      </x:c>
      <x:c r="AN81" s="272">
        <x:f t="shared" si="82"/>
        <x:v>-125.77304512168979</x:v>
      </x:c>
      <x:c r="AO81" s="272">
        <x:f t="shared" si="83"/>
        <x:v>-33.408048739058849</x:v>
      </x:c>
      <x:c r="AP81" s="272">
        <x:f t="shared" si="84"/>
        <x:v>70.240288596534711</x:v>
      </x:c>
      <x:c r="AQ81" s="272">
        <x:f t="shared" si="85"/>
        <x:v>-333.06971979287692</x:v>
      </x:c>
      <x:c r="AR81" s="272"/>
      <x:c r="AS81" s="286">
        <x:f t="shared" si="32"/>
        <x:v>750.68766513903483</x:v>
      </x:c>
      <x:c r="AT81" s="286">
        <x:f t="shared" si="33"/>
        <x:v>-422.01052505709083</x:v>
      </x:c>
      <x:c r="AY81" s="279">
        <x:f t="shared" si="86"/>
        <x:v>129.02474986946456</x:v>
      </x:c>
      <x:c r="AZ81" s="279">
        <x:f t="shared" si="87"/>
        <x:v>-129.02474986946456</x:v>
      </x:c>
      <x:c r="BA81" s="279">
        <x:f t="shared" si="88"/>
        <x:v>537.42676096725381</x:v>
      </x:c>
      <x:c r="BB81" s="279">
        <x:f t="shared" si="89"/>
        <x:v>537.42676096725381</x:v>
      </x:c>
      <x:c r="BC81" s="279"/>
      <x:c r="BD81" s="289">
        <x:f t="shared" si="36"/>
        <x:v>0</x:v>
      </x:c>
      <x:c r="BE81" s="289">
        <x:f t="shared" si="37"/>
        <x:v>1074.8535219345076</x:v>
      </x:c>
    </x:row>
    <x:row r="82" ht="15.75" customHeight="1">
      <x:c r="A82" s="21">
        <x:v>100</x:v>
      </x:c>
      <x:c r="B82" s="21">
        <x:f t="shared" si="19"/>
        <x:v>280</x:v>
      </x:c>
      <x:c r="C82" s="21">
        <x:f t="shared" si="0"/>
        <x:v>280</x:v>
      </x:c>
      <x:c r="D82" s="21">
        <x:f t="shared" si="20"/>
        <x:v>100</x:v>
      </x:c>
      <x:c r="E82" s="22" t="n">
        <x:f t="shared" ref="E82:H82" si="107">A82*PI()/180</x:f>
        <x:v>1.7453292519943295</x:v>
      </x:c>
      <x:c r="F82" s="22">
        <x:f t="shared" si="107"/>
        <x:v>4.8869219055841224</x:v>
      </x:c>
      <x:c r="G82" s="22">
        <x:f t="shared" si="107"/>
        <x:v>4.8869219055841224</x:v>
      </x:c>
      <x:c r="H82" s="22">
        <x:f t="shared" si="107"/>
        <x:v>1.7453292519943295</x:v>
      </x:c>
      <x:c r="I82" s="23"/>
      <x:c r="J82" s="23"/>
      <x:c r="K82" s="23"/>
      <x:c r="L82" s="249">
        <x:f t="shared" si="70"/>
        <x:v>1346.7635913997776</x:v>
      </x:c>
      <x:c r="M82" s="249">
        <x:f t="shared" si="71"/>
        <x:v>-1346.7635913997776</x:v>
      </x:c>
      <x:c r="N82" s="249">
        <x:f t="shared" si="72"/>
        <x:v>-1346.7635913997776</x:v>
      </x:c>
      <x:c r="O82" s="249">
        <x:f t="shared" si="73"/>
        <x:v>1346.7635913997776</x:v>
      </x:c>
      <x:c r="P82" s="249">
        <x:f t="shared" si="74"/>
        <x:v>-1354.5473972180009</x:v>
      </x:c>
      <x:c r="Q82" s="249">
        <x:f t="shared" si="75"/>
        <x:v>-54.074264898650995</x:v>
      </x:c>
      <x:c r="R82" s="249">
        <x:f t="shared" si="76"/>
        <x:v>-54.074264898650995</x:v>
      </x:c>
      <x:c r="S82" s="249">
        <x:f t="shared" si="77"/>
        <x:v>-1354.5473972180009</x:v>
      </x:c>
      <x:c r="T82" s="23"/>
      <x:c r="U82" s="23"/>
      <x:c r="V82" s="260">
        <x:f t="shared" si="22"/>
        <x:v>-736.05450236494448</x:v>
      </x:c>
      <x:c r="W82" s="260">
        <x:f t="shared" si="23"/>
        <x:v>-465.42600716574515</x:v>
      </x:c>
      <x:c r="X82" s="260">
        <x:f t="shared" si="24"/>
        <x:v>-565.34222031665945</x:v>
      </x:c>
      <x:c r="Y82" s="260">
        <x:f t="shared" si="25"/>
        <x:v>1766.8227298473491</x:v>
      </x:c>
      <x:c r="Z82" s="260">
        <x:f t="shared" si="26"/>
        <x:v>-1762.6101644942314</x:v>
      </x:c>
      <x:c r="AA82" s="260">
        <x:f t="shared" si="27"/>
        <x:v>-1264.940642519683</x:v>
      </x:c>
      <x:c r="AB82" s="260">
        <x:f t="shared" si="28"/>
        <x:v>1223.5539919316134</x:v>
      </x:c>
      <x:c r="AC82" s="260">
        <x:f t="shared" si="29"/>
        <x:v>725.88446995706488</x:v>
      </x:c>
      <x:c r="AD82" s="260"/>
      <x:c r="AE82" s="282">
        <x:f t="shared" si="39"/>
        <x:v>0</x:v>
      </x:c>
      <x:c r="AF82" s="282">
        <x:f t="shared" si="10"/>
        <x:v>-1078.1123451252361</x:v>
      </x:c>
      <x:c r="AJ82" s="272">
        <x:f t="shared" si="78"/>
        <x:v>352.52203289884631</x:v>
      </x:c>
      <x:c r="AK82" s="272">
        <x:f t="shared" si="79"/>
        <x:v>126.49406425196831</x:v>
      </x:c>
      <x:c r="AL82" s="272">
        <x:f t="shared" si="80"/>
        <x:v>122.35539919316135</x:v>
      </x:c>
      <x:c r="AM82" s="272">
        <x:f t="shared" si="81"/>
        <x:v>145.17689399141298</x:v>
      </x:c>
      <x:c r="AN82" s="272">
        <x:f t="shared" si="82"/>
        <x:v>-147.2109004729889</x:v>
      </x:c>
      <x:c r="AO82" s="272">
        <x:f t="shared" si="83"/>
        <x:v>-46.542600716574519</x:v>
      </x:c>
      <x:c r="AP82" s="272">
        <x:f t="shared" si="84"/>
        <x:v>56.534222031665948</x:v>
      </x:c>
      <x:c r="AQ82" s="272">
        <x:f t="shared" si="85"/>
        <x:v>-353.36454596946987</x:v>
      </x:c>
      <x:c r="AR82" s="272"/>
      <x:c r="AS82" s="286">
        <x:f t="shared" si="32"/>
        <x:v>746.54839033538894</x:v>
      </x:c>
      <x:c r="AT82" s="286">
        <x:f t="shared" si="33"/>
        <x:v>-490.58382512736733</x:v>
      </x:c>
      <x:c r="AY82" s="279">
        <x:f t="shared" si="86"/>
        <x:v>166.19944780434639</x:v>
      </x:c>
      <x:c r="AZ82" s="279">
        <x:f t="shared" si="87"/>
        <x:v>-166.19944780434639</x:v>
      </x:c>
      <x:c r="BA82" s="279">
        <x:f t="shared" si="88"/>
        <x:v>527.11730481190045</x:v>
      </x:c>
      <x:c r="BB82" s="279">
        <x:f t="shared" si="89"/>
        <x:v>527.11730481190045</x:v>
      </x:c>
      <x:c r="BC82" s="279"/>
      <x:c r="BD82" s="289">
        <x:f t="shared" si="36"/>
        <x:v>0</x:v>
      </x:c>
      <x:c r="BE82" s="289">
        <x:f t="shared" si="37"/>
        <x:v>1054.2346096238009</x:v>
      </x:c>
    </x:row>
    <x:row r="83" ht="15.75" customHeight="1">
      <x:c r="A83" s="21">
        <x:v>102</x:v>
      </x:c>
      <x:c r="B83" s="21">
        <x:f t="shared" si="19"/>
        <x:v>282</x:v>
      </x:c>
      <x:c r="C83" s="21">
        <x:f t="shared" si="0"/>
        <x:v>282</x:v>
      </x:c>
      <x:c r="D83" s="21">
        <x:f t="shared" si="20"/>
        <x:v>102</x:v>
      </x:c>
      <x:c r="E83" s="22" t="n">
        <x:f t="shared" ref="E83:H83" si="108">A83*PI()/180</x:f>
        <x:v>1.780235837034216</x:v>
      </x:c>
      <x:c r="F83" s="22">
        <x:f t="shared" si="108"/>
        <x:v>4.9218284906240086</x:v>
      </x:c>
      <x:c r="G83" s="22">
        <x:f t="shared" si="108"/>
        <x:v>4.9218284906240086</x:v>
      </x:c>
      <x:c r="H83" s="22">
        <x:f t="shared" si="108"/>
        <x:v>1.780235837034216</x:v>
      </x:c>
      <x:c r="I83" s="23"/>
      <x:c r="J83" s="23"/>
      <x:c r="K83" s="23"/>
      <x:c r="L83" s="249">
        <x:f t="shared" si="70"/>
        <x:v>1337.6555694794633</x:v>
      </x:c>
      <x:c r="M83" s="249">
        <x:f t="shared" si="71"/>
        <x:v>-1337.6555694794636</x:v>
      </x:c>
      <x:c r="N83" s="249">
        <x:f t="shared" si="72"/>
        <x:v>-1337.6555694794636</x:v>
      </x:c>
      <x:c r="O83" s="249">
        <x:f t="shared" si="73"/>
        <x:v>1337.6555694794633</x:v>
      </x:c>
      <x:c r="P83" s="249">
        <x:f t="shared" si="74"/>
        <x:v>-1463.2516750092527</x:v>
      </x:c>
      <x:c r="Q83" s="249">
        <x:f t="shared" si="75"/>
        <x:v>93.825234385088493</x:v>
      </x:c>
      <x:c r="R83" s="249">
        <x:f t="shared" si="76"/>
        <x:v>93.825234385088493</x:v>
      </x:c>
      <x:c r="S83" s="249">
        <x:f t="shared" si="77"/>
        <x:v>-1463.2516750092527</x:v>
      </x:c>
      <x:c r="T83" s="23"/>
      <x:c r="U83" s="23"/>
      <x:c r="V83" s="260">
        <x:f t="shared" si="22"/>
        <x:v>-839.96964880322571</x:v>
      </x:c>
      <x:c r="W83" s="260">
        <x:f t="shared" si="23"/>
        <x:v>-598.58183833213752</x:v>
      </x:c>
      <x:c r="X83" s="260">
        <x:f t="shared" si="24"/>
        <x:v>-425.21541096922255</x:v>
      </x:c>
      <x:c r="Y83" s="260">
        <x:f t="shared" si="25"/>
        <x:v>1863.7668981045856</x:v>
      </x:c>
      <x:c r="Z83" s="260">
        <x:f t="shared" si="26"/>
        <x:v>-1795.7947755983132</x:v>
      </x:c>
      <x:c r="AA83" s="260">
        <x:f t="shared" si="27"/>
        <x:v>-1199.9272394548611</x:v>
      </x:c>
      <x:c r="AB83" s="260">
        <x:f t="shared" si="28"/>
        <x:v>1271.7379649287504</x:v>
      </x:c>
      <x:c r="AC83" s="260">
        <x:f t="shared" si="29"/>
        <x:v>675.8704287852978</x:v>
      </x:c>
      <x:c r="AD83" s="260"/>
      <x:c r="AE83" s="282">
        <x:f t="shared" si="39"/>
        <x:v>0</x:v>
      </x:c>
      <x:c r="AF83" s="282">
        <x:f t="shared" si="10"/>
        <x:v>-1048.113621339126</x:v>
      </x:c>
      <x:c r="AJ83" s="272">
        <x:f t="shared" si="78"/>
        <x:v>359.15895511966266</x:v>
      </x:c>
      <x:c r="AK83" s="272">
        <x:f t="shared" si="79"/>
        <x:v>119.99272394548612</x:v>
      </x:c>
      <x:c r="AL83" s="272">
        <x:f t="shared" si="80"/>
        <x:v>127.17379649287506</x:v>
      </x:c>
      <x:c r="AM83" s="272">
        <x:f t="shared" si="81"/>
        <x:v>135.17408575705957</x:v>
      </x:c>
      <x:c r="AN83" s="272">
        <x:f t="shared" si="82"/>
        <x:v>-167.99392976064516</x:v>
      </x:c>
      <x:c r="AO83" s="272">
        <x:f t="shared" si="83"/>
        <x:v>-59.858183833213758</x:v>
      </x:c>
      <x:c r="AP83" s="272">
        <x:f t="shared" si="84"/>
        <x:v>42.521541096922256</x:v>
      </x:c>
      <x:c r="AQ83" s="272">
        <x:f t="shared" si="85"/>
        <x:v>-372.75337962091714</x:v>
      </x:c>
      <x:c r="AR83" s="272"/>
      <x:c r="AS83" s="286">
        <x:f t="shared" si="32"/>
        <x:v>741.49956131508338</x:v>
      </x:c>
      <x:c r="AT83" s="286">
        <x:f t="shared" si="33"/>
        <x:v>-558.08395211785387</x:v>
      </x:c>
      <x:c r="AY83" s="279">
        <x:f t="shared" si="86"/>
        <x:v>202.56443873583507</x:v>
      </x:c>
      <x:c r="AZ83" s="279">
        <x:f t="shared" si="87"/>
        <x:v>-202.56443873583507</x:v>
      </x:c>
      <x:c r="BA83" s="279">
        <x:f t="shared" si="88"/>
        <x:v>514.23978613315001</x:v>
      </x:c>
      <x:c r="BB83" s="279">
        <x:f t="shared" si="89"/>
        <x:v>514.23978613315001</x:v>
      </x:c>
      <x:c r="BC83" s="279"/>
      <x:c r="BD83" s="289">
        <x:f t="shared" si="36"/>
        <x:v>0</x:v>
      </x:c>
      <x:c r="BE83" s="289">
        <x:f t="shared" si="37"/>
        <x:v>1028.4795722663</x:v>
      </x:c>
    </x:row>
    <x:row r="84" ht="15.75" customHeight="1">
      <x:c r="A84" s="21">
        <x:v>104</x:v>
      </x:c>
      <x:c r="B84" s="21">
        <x:f t="shared" si="19"/>
        <x:v>284</x:v>
      </x:c>
      <x:c r="C84" s="21">
        <x:f t="shared" si="0"/>
        <x:v>284</x:v>
      </x:c>
      <x:c r="D84" s="21">
        <x:f t="shared" si="20"/>
        <x:v>104</x:v>
      </x:c>
      <x:c r="E84" s="22" t="n">
        <x:f t="shared" ref="E84:H84" si="109">A84*PI()/180</x:f>
        <x:v>1.8151424220741028</x:v>
      </x:c>
      <x:c r="F84" s="22">
        <x:f t="shared" si="109"/>
        <x:v>4.9567350756638957</x:v>
      </x:c>
      <x:c r="G84" s="22">
        <x:f t="shared" si="109"/>
        <x:v>4.9567350756638957</x:v>
      </x:c>
      <x:c r="H84" s="22">
        <x:f t="shared" si="109"/>
        <x:v>1.8151424220741028</x:v>
      </x:c>
      <x:c r="I84" s="23"/>
      <x:c r="J84" s="23"/>
      <x:c r="K84" s="23"/>
      <x:c r="L84" s="249">
        <x:f t="shared" si="70"/>
        <x:v>1326.917820297783</x:v>
      </x:c>
      <x:c r="M84" s="249">
        <x:f t="shared" si="71"/>
        <x:v>-1326.9178202977832</x:v>
      </x:c>
      <x:c r="N84" s="249">
        <x:f t="shared" si="72"/>
        <x:v>-1326.9178202977832</x:v>
      </x:c>
      <x:c r="O84" s="249">
        <x:f t="shared" si="73"/>
        <x:v>1326.917820297783</x:v>
      </x:c>
      <x:c r="P84" s="249">
        <x:f t="shared" si="74"/>
        <x:v>-1567.6715696358847</x:v>
      </x:c>
      <x:c r="Q84" s="249">
        <x:f t="shared" si="75"/>
        <x:v>244.1120584686671</x:v>
      </x:c>
      <x:c r="R84" s="249">
        <x:f t="shared" si="76"/>
        <x:v>244.1120584686671</x:v>
      </x:c>
      <x:c r="S84" s="249">
        <x:f t="shared" si="77"/>
        <x:v>-1567.6715696358847</x:v>
      </x:c>
      <x:c r="T84" s="23"/>
      <x:c r="U84" s="23"/>
      <x:c r="V84" s="260">
        <x:f t="shared" si="22"/>
        <x:v>-940.55021094847734</x:v>
      </x:c>
      <x:c r="W84" s="260">
        <x:f t="shared" si="23"/>
        <x:v>-733.31960039635919</x:v>
      </x:c>
      <x:c r="X84" s="260">
        <x:f t="shared" si="24"/>
        <x:v>-282.25933147955914</x:v>
      </x:c>
      <x:c r="Y84" s="260">
        <x:f t="shared" si="25"/>
        <x:v>1956.1291428243953</x:v>
      </x:c>
      <x:c r="Z84" s="260">
        <x:f t="shared" si="26"/>
        <x:v>-1825.8341525870396</x:v>
      </x:c>
      <x:c r="AA84" s="260">
        <x:f t="shared" si="27"/>
        <x:v>-1132.4945750811146</x:v>
      </x:c>
      <x:c r="AB84" s="260">
        <x:f t="shared" si="28"/>
        <x:v>1319.3298559141087</x:v>
      </x:c>
      <x:c r="AC84" s="260">
        <x:f t="shared" si="29"/>
        <x:v>625.99027840818314</x:v>
      </x:c>
      <x:c r="AD84" s="260"/>
      <x:c r="AE84" s="282">
        <x:f t="shared" si="39"/>
        <x:v>0</x:v>
      </x:c>
      <x:c r="AF84" s="282">
        <x:f t="shared" si="10"/>
        <x:v>-1013.0085933458621</x:v>
      </x:c>
      <x:c r="AJ84" s="272">
        <x:f t="shared" si="78"/>
        <x:v>365.16683051740796</x:v>
      </x:c>
      <x:c r="AK84" s="272">
        <x:f t="shared" si="79"/>
        <x:v>113.24945750811146</x:v>
      </x:c>
      <x:c r="AL84" s="272">
        <x:f t="shared" si="80"/>
        <x:v>131.93298559141087</x:v>
      </x:c>
      <x:c r="AM84" s="272">
        <x:f t="shared" si="81"/>
        <x:v>125.19805568163663</x:v>
      </x:c>
      <x:c r="AN84" s="272">
        <x:f t="shared" si="82"/>
        <x:v>-188.11004218969549</x:v>
      </x:c>
      <x:c r="AO84" s="272">
        <x:f t="shared" si="83"/>
        <x:v>-73.331960039635916</x:v>
      </x:c>
      <x:c r="AP84" s="272">
        <x:f t="shared" si="84"/>
        <x:v>28.225933147955914</x:v>
      </x:c>
      <x:c r="AQ84" s="272">
        <x:f t="shared" si="85"/>
        <x:v>-391.22582856487907</x:v>
      </x:c>
      <x:c r="AR84" s="272"/>
      <x:c r="AS84" s="286">
        <x:f t="shared" si="32"/>
        <x:v>735.54732929856698</x:v>
      </x:c>
      <x:c r="AT84" s="286">
        <x:f t="shared" si="33"/>
        <x:v>-624.44189764625457</x:v>
      </x:c>
      <x:c r="AY84" s="279">
        <x:f t="shared" si="86"/>
        <x:v>237.94255608350937</x:v>
      </x:c>
      <x:c r="AZ84" s="279">
        <x:f t="shared" si="87"/>
        <x:v>-237.94255608350937</x:v>
      </x:c>
      <x:c r="BA84" s="279">
        <x:f t="shared" si="88"/>
        <x:v>498.85694290756106</x:v>
      </x:c>
      <x:c r="BB84" s="279">
        <x:f t="shared" si="89"/>
        <x:v>498.85694290756106</x:v>
      </x:c>
      <x:c r="BC84" s="279"/>
      <x:c r="BD84" s="289">
        <x:f t="shared" si="36"/>
        <x:v>0</x:v>
      </x:c>
      <x:c r="BE84" s="289">
        <x:f t="shared" si="37"/>
        <x:v>997.71388581512213</x:v>
      </x:c>
    </x:row>
    <x:row r="85" ht="15.75" customHeight="1">
      <x:c r="A85" s="21">
        <x:v>106</x:v>
      </x:c>
      <x:c r="B85" s="21">
        <x:f t="shared" si="19"/>
        <x:v>286</x:v>
      </x:c>
      <x:c r="C85" s="21">
        <x:f t="shared" si="0"/>
        <x:v>286</x:v>
      </x:c>
      <x:c r="D85" s="21">
        <x:f t="shared" si="20"/>
        <x:v>106</x:v>
      </x:c>
      <x:c r="E85" s="22" t="n">
        <x:f t="shared" ref="E85:H85" si="110">A85*PI()/180</x:f>
        <x:v>1.8500490071139892</x:v>
      </x:c>
      <x:c r="F85" s="22">
        <x:f t="shared" si="110"/>
        <x:v>4.9916416607037828</x:v>
      </x:c>
      <x:c r="G85" s="22">
        <x:f t="shared" si="110"/>
        <x:v>4.9916416607037828</x:v>
      </x:c>
      <x:c r="H85" s="22">
        <x:f t="shared" si="110"/>
        <x:v>1.8500490071139892</x:v>
      </x:c>
      <x:c r="I85" s="23"/>
      <x:c r="J85" s="23"/>
      <x:c r="K85" s="23"/>
      <x:c r="L85" s="249">
        <x:f t="shared" si="70"/>
        <x:v>1314.5634261480911</x:v>
      </x:c>
      <x:c r="M85" s="249">
        <x:f t="shared" si="71"/>
        <x:v>-1314.5634261480909</x:v>
      </x:c>
      <x:c r="N85" s="249">
        <x:f t="shared" si="72"/>
        <x:v>-1314.5634261480909</x:v>
      </x:c>
      <x:c r="O85" s="249">
        <x:f t="shared" si="73"/>
        <x:v>1314.5634261480911</x:v>
      </x:c>
      <x:c r="P85" s="249">
        <x:f t="shared" si="74"/>
        <x:v>-1667.7636501816946</x:v>
      </x:c>
      <x:c r="Q85" s="249">
        <x:f t="shared" si="75"/>
        <x:v>396.5193173660947</x:v>
      </x:c>
      <x:c r="R85" s="249">
        <x:f t="shared" si="76"/>
        <x:v>396.5193173660947</x:v>
      </x:c>
      <x:c r="S85" s="249">
        <x:f t="shared" si="77"/>
        <x:v>-1667.7636501816946</x:v>
      </x:c>
      <x:c r="T85" s="23"/>
      <x:c r="U85" s="23"/>
      <x:c r="V85" s="260">
        <x:f t="shared" si="22"/>
        <x:v>-1037.7510574892171</x:v>
      </x:c>
      <x:c r="W85" s="260">
        <x:f t="shared" si="23"/>
        <x:v>-869.39772553984585</x:v>
      </x:c>
      <x:c r="X85" s="260">
        <x:f t="shared" si="24"/>
        <x:v>-136.72556242008159</x:v>
      </x:c>
      <x:c r="Y85" s="260">
        <x:f t="shared" si="25"/>
        <x:v>2043.874345449145</x:v>
      </x:c>
      <x:c r="Z85" s="260">
        <x:f t="shared" si="26"/>
        <x:v>-1852.7237616313957</x:v>
      </x:c>
      <x:c r="AA85" s="260">
        <x:f t="shared" si="27"/>
        <x:v>-1062.7568702374142</x:v>
      </x:c>
      <x:c r="AB85" s="260">
        <x:f t="shared" si="28"/>
        <x:v>1366.2396169748531</x:v>
      </x:c>
      <x:c r="AC85" s="260">
        <x:f t="shared" si="29"/>
        <x:v>576.27272558087202</x:v>
      </x:c>
      <x:c r="AD85" s="260"/>
      <x:c r="AE85" s="282">
        <x:f t="shared" si="39"/>
        <x:v>0</x:v>
      </x:c>
      <x:c r="AF85" s="282">
        <x:f t="shared" si="10"/>
        <x:v>-972.9682893130846</x:v>
      </x:c>
      <x:c r="AJ85" s="272">
        <x:f t="shared" si="78"/>
        <x:v>370.54475232627919</x:v>
      </x:c>
      <x:c r="AK85" s="272">
        <x:f t="shared" si="79"/>
        <x:v>106.27568702374143</x:v>
      </x:c>
      <x:c r="AL85" s="272">
        <x:f t="shared" si="80"/>
        <x:v>136.62396169748533</x:v>
      </x:c>
      <x:c r="AM85" s="272">
        <x:f t="shared" si="81"/>
        <x:v>115.25454511617441</x:v>
      </x:c>
      <x:c r="AN85" s="272">
        <x:f t="shared" si="82"/>
        <x:v>-207.55021149784343</x:v>
      </x:c>
      <x:c r="AO85" s="272">
        <x:f t="shared" si="83"/>
        <x:v>-86.939772553984596</x:v>
      </x:c>
      <x:c r="AP85" s="272">
        <x:f t="shared" si="84"/>
        <x:v>13.672556242008159</x:v>
      </x:c>
      <x:c r="AQ85" s="272">
        <x:f t="shared" si="85"/>
        <x:v>-408.77486908982905</x:v>
      </x:c>
      <x:c r="AR85" s="272"/>
      <x:c r="AS85" s="286">
        <x:f t="shared" si="32"/>
        <x:v>728.69894616368038</x:v>
      </x:c>
      <x:c r="AT85" s="286">
        <x:f t="shared" si="33"/>
        <x:v>-689.592296899649</x:v>
      </x:c>
      <x:c r="AY85" s="279">
        <x:f t="shared" si="86"/>
        <x:v>272.16144121584693</x:v>
      </x:c>
      <x:c r="AZ85" s="279">
        <x:f t="shared" si="87"/>
        <x:v>-272.16144121584693</x:v>
      </x:c>
      <x:c r="BA85" s="279">
        <x:f t="shared" si="88"/>
        <x:v>481.04371880105117</x:v>
      </x:c>
      <x:c r="BB85" s="279">
        <x:f t="shared" si="89"/>
        <x:v>481.04371880105117</x:v>
      </x:c>
      <x:c r="BC85" s="279"/>
      <x:c r="BD85" s="289">
        <x:f t="shared" si="36"/>
        <x:v>0</x:v>
      </x:c>
      <x:c r="BE85" s="289">
        <x:f t="shared" si="37"/>
        <x:v>962.08743760210234</x:v>
      </x:c>
    </x:row>
    <x:row r="86" ht="15.75" customHeight="1">
      <x:c r="A86" s="21">
        <x:v>108</x:v>
      </x:c>
      <x:c r="B86" s="21">
        <x:f t="shared" si="19"/>
        <x:v>288</x:v>
      </x:c>
      <x:c r="C86" s="21">
        <x:f t="shared" si="0"/>
        <x:v>288</x:v>
      </x:c>
      <x:c r="D86" s="21">
        <x:f t="shared" si="20"/>
        <x:v>108</x:v>
      </x:c>
      <x:c r="E86" s="22" t="n">
        <x:f t="shared" ref="E86:H86" si="111">A86*PI()/180</x:f>
        <x:v>1.8849555921538759</x:v>
      </x:c>
      <x:c r="F86" s="22">
        <x:f t="shared" si="111"/>
        <x:v>5.026548245743669</x:v>
      </x:c>
      <x:c r="G86" s="22">
        <x:f t="shared" si="111"/>
        <x:v>5.026548245743669</x:v>
      </x:c>
      <x:c r="H86" s="22">
        <x:f t="shared" si="111"/>
        <x:v>1.8849555921538759</x:v>
      </x:c>
      <x:c r="I86" s="23"/>
      <x:c r="J86" s="23"/>
      <x:c r="K86" s="23"/>
      <x:c r="L86" s="249">
        <x:f t="shared" si="70"/>
        <x:v>1300.6074389566106</x:v>
      </x:c>
      <x:c r="M86" s="249">
        <x:f t="shared" si="71"/>
        <x:v>-1300.6074389566106</x:v>
      </x:c>
      <x:c r="N86" s="249">
        <x:f t="shared" si="72"/>
        <x:v>-1300.6074389566106</x:v>
      </x:c>
      <x:c r="O86" s="249">
        <x:f t="shared" si="73"/>
        <x:v>1300.6074389566106</x:v>
      </x:c>
      <x:c r="P86" s="249">
        <x:f t="shared" si="74"/>
        <x:v>-1763.5015380165119</x:v>
      </x:c>
      <x:c r="Q86" s="249">
        <x:f t="shared" si="75"/>
        <x:v>550.76575815696924</x:v>
      </x:c>
      <x:c r="R86" s="249">
        <x:f t="shared" si="76"/>
        <x:v>550.76575815696924</x:v>
      </x:c>
      <x:c r="S86" s="249">
        <x:f t="shared" si="77"/>
        <x:v>-1763.5015380165119</x:v>
      </x:c>
      <x:c r="T86" s="23"/>
      <x:c r="U86" s="23"/>
      <x:c r="V86" s="260">
        <x:f t="shared" si="22"/>
        <x:v>-1131.5420576261454</x:v>
      </x:c>
      <x:c r="W86" s="260">
        <x:f t="shared" si="23"/>
        <x:v>-1006.5621300687699</x:v>
      </x:c>
      <x:c r="X86" s="260">
        <x:f t="shared" si="24"/>
        <x:v>11.120292269800359</x:v>
      </x:c>
      <x:c r="Y86" s="260">
        <x:f t="shared" si="25"/>
        <x:v>2126.983895425115</x:v>
      </x:c>
      <x:c r="Z86" s="260">
        <x:f t="shared" si="26"/>
        <x:v>-1876.4674142332092</x:v>
      </x:c>
      <x:c r="AA86" s="260">
        <x:f t="shared" si="27"/>
        <x:v>-990.83566192326543</x:v>
      </x:c>
      <x:c r="AB86" s="260">
        <x:f t="shared" si="28"/>
        <x:v>1412.3735234446053</x:v>
      </x:c>
      <x:c r="AC86" s="260">
        <x:f t="shared" si="29"/>
        <x:v>526.74177113466169</x:v>
      </x:c>
      <x:c r="AD86" s="260"/>
      <x:c r="AE86" s="282">
        <x:f t="shared" si="39"/>
        <x:v>0</x:v>
      </x:c>
      <x:c r="AF86" s="282">
        <x:f t="shared" si="10"/>
        <x:v>-928.1877815772076</x:v>
      </x:c>
      <x:c r="AJ86" s="272">
        <x:f t="shared" si="78"/>
        <x:v>375.29348284664184</x:v>
      </x:c>
      <x:c r="AK86" s="272">
        <x:f t="shared" si="79"/>
        <x:v>99.083566192326543</x:v>
      </x:c>
      <x:c r="AL86" s="272">
        <x:f t="shared" si="80"/>
        <x:v>141.23735234446053</x:v>
      </x:c>
      <x:c r="AM86" s="272">
        <x:f t="shared" si="81"/>
        <x:v>105.34835422693234</x:v>
      </x:c>
      <x:c r="AN86" s="272">
        <x:f t="shared" si="82"/>
        <x:v>-226.30841152522908</x:v>
      </x:c>
      <x:c r="AO86" s="272">
        <x:f t="shared" si="83"/>
        <x:v>-100.656213006877</x:v>
      </x:c>
      <x:c r="AP86" s="272">
        <x:f t="shared" si="84"/>
        <x:v>-1.112029226980036</x:v>
      </x:c>
      <x:c r="AQ86" s="272">
        <x:f t="shared" si="85"/>
        <x:v>-425.39677908502301</x:v>
      </x:c>
      <x:c r="AR86" s="272"/>
      <x:c r="AS86" s="286">
        <x:f t="shared" si="32"/>
        <x:v>720.96275561036123</x:v>
      </x:c>
      <x:c r="AT86" s="286">
        <x:f t="shared" si="33"/>
        <x:v>-753.47343284410908</x:v>
      </x:c>
      <x:c r="AY86" s="279">
        <x:f t="shared" si="86"/>
        <x:v>305.05438316415336</x:v>
      </x:c>
      <x:c r="AZ86" s="279">
        <x:f t="shared" si="87"/>
        <x:v>-305.05438316415336</x:v>
      </x:c>
      <x:c r="BA86" s="279">
        <x:f t="shared" si="88"/>
        <x:v>460.88689805088802</x:v>
      </x:c>
      <x:c r="BB86" s="279">
        <x:f t="shared" si="89"/>
        <x:v>460.88689805088802</x:v>
      </x:c>
      <x:c r="BC86" s="279"/>
      <x:c r="BD86" s="289">
        <x:f t="shared" si="36"/>
        <x:v>0</x:v>
      </x:c>
      <x:c r="BE86" s="289">
        <x:f t="shared" si="37"/>
        <x:v>921.77379610177604</x:v>
      </x:c>
    </x:row>
    <x:row r="87" ht="15.75" customHeight="1">
      <x:c r="A87" s="21">
        <x:v>110</x:v>
      </x:c>
      <x:c r="B87" s="21">
        <x:f t="shared" si="19"/>
        <x:v>290</x:v>
      </x:c>
      <x:c r="C87" s="21">
        <x:f t="shared" si="0"/>
        <x:v>290</x:v>
      </x:c>
      <x:c r="D87" s="21">
        <x:f t="shared" si="20"/>
        <x:v>110</x:v>
      </x:c>
      <x:c r="E87" s="22" t="n">
        <x:f t="shared" ref="E87:H87" si="112">A87*PI()/180</x:f>
        <x:v>1.9198621771937625</x:v>
      </x:c>
      <x:c r="F87" s="22">
        <x:f t="shared" si="112"/>
        <x:v>5.0614548307835552</x:v>
      </x:c>
      <x:c r="G87" s="22">
        <x:f t="shared" si="112"/>
        <x:v>5.0614548307835552</x:v>
      </x:c>
      <x:c r="H87" s="22">
        <x:f t="shared" si="112"/>
        <x:v>1.9198621771937625</x:v>
      </x:c>
      <x:c r="I87" s="23"/>
      <x:c r="J87" s="23"/>
      <x:c r="K87" s="23"/>
      <x:c r="L87" s="249">
        <x:f t="shared" si="70"/>
        <x:v>1285.0668619439789</x:v>
      </x:c>
      <x:c r="M87" s="249">
        <x:f t="shared" si="71"/>
        <x:v>-1285.0668619439791</x:v>
      </x:c>
      <x:c r="N87" s="249">
        <x:f t="shared" si="72"/>
        <x:v>-1285.0668619439791</x:v>
      </x:c>
      <x:c r="O87" s="249">
        <x:f t="shared" si="73"/>
        <x:v>1285.0668619439789</x:v>
      </x:c>
      <x:c r="P87" s="249">
        <x:f t="shared" si="74"/>
        <x:v>-1854.8754733360593</x:v>
      </x:c>
      <x:c r="Q87" s="249">
        <x:f t="shared" si="75"/>
        <x:v>706.5565732482753</x:v>
      </x:c>
      <x:c r="R87" s="249">
        <x:f t="shared" si="76"/>
        <x:v>706.5565732482753</x:v>
      </x:c>
      <x:c r="S87" s="249">
        <x:f t="shared" si="77"/>
        <x:v>-1854.8754733360593</x:v>
      </x:c>
      <x:c r="T87" s="23"/>
      <x:c r="U87" s="23"/>
      <x:c r="V87" s="260">
        <x:f t="shared" si="22"/>
        <x:v>-1221.9076876250133</x:v>
      </x:c>
      <x:c r="W87" s="260">
        <x:f t="shared" si="23"/>
        <x:v>-1144.5469541327502</x:v>
      </x:c>
      <x:c r="X87" s="260">
        <x:f t="shared" si="24"/>
        <x:v>160.99935903803629</x:v>
      </x:c>
      <x:c r="Y87" s="260">
        <x:f t="shared" si="25"/>
        <x:v>2205.4552827197272</x:v>
      </x:c>
      <x:c r="Z87" s="260">
        <x:f t="shared" si="26"/>
        <x:v>-1897.0770844046133</x:v>
      </x:c>
      <x:c r="AA87" s="260">
        <x:f t="shared" si="27"/>
        <x:v>-916.85947704778368</x:v>
      </x:c>
      <x:c r="AB87" s="260">
        <x:f t="shared" si="28"/>
        <x:v>1457.6344662693157</x:v>
      </x:c>
      <x:c r="AC87" s="260">
        <x:f t="shared" si="29"/>
        <x:v>477.41685891248562</x:v>
      </x:c>
      <x:c r="AD87" s="260"/>
      <x:c r="AE87" s="282">
        <x:f t="shared" si="39"/>
        <x:v>0</x:v>
      </x:c>
      <x:c r="AF87" s="282">
        <x:f t="shared" si="10"/>
        <x:v>-878.88523627059544</x:v>
      </x:c>
      <x:c r="AJ87" s="272">
        <x:f t="shared" si="78"/>
        <x:v>379.41541688092269</x:v>
      </x:c>
      <x:c r="AK87" s="272">
        <x:f t="shared" si="79"/>
        <x:v>91.685947704778371</x:v>
      </x:c>
      <x:c r="AL87" s="272">
        <x:f t="shared" si="80"/>
        <x:v>145.76344662693157</x:v>
      </x:c>
      <x:c r="AM87" s="272">
        <x:f t="shared" si="81"/>
        <x:v>95.48337178249713</x:v>
      </x:c>
      <x:c r="AN87" s="272">
        <x:f t="shared" si="82"/>
        <x:v>-244.38153752500267</x:v>
      </x:c>
      <x:c r="AO87" s="272">
        <x:f t="shared" si="83"/>
        <x:v>-114.45469541327503</x:v>
      </x:c>
      <x:c r="AP87" s="272">
        <x:f t="shared" si="84"/>
        <x:v>-16.09993590380363</x:v>
      </x:c>
      <x:c r="AQ87" s="272">
        <x:f t="shared" si="85"/>
        <x:v>-441.09105654394546</x:v>
      </x:c>
      <x:c r="AR87" s="272"/>
      <x:c r="AS87" s="286">
        <x:f t="shared" si="32"/>
        <x:v>712.34818299512972</x:v>
      </x:c>
      <x:c r="AT87" s="286">
        <x:f t="shared" si="33"/>
        <x:v>-816.02722538602677</x:v>
      </x:c>
      <x:c r="AY87" s="279">
        <x:f t="shared" si="86"/>
        <x:v>336.46113082164328</x:v>
      </x:c>
      <x:c r="AZ87" s="279">
        <x:f t="shared" si="87"/>
        <x:v>-336.46113082164328</x:v>
      </x:c>
      <x:c r="BA87" s="279">
        <x:f t="shared" si="88"/>
        <x:v>438.4846826616099</x:v>
      </x:c>
      <x:c r="BB87" s="279">
        <x:f t="shared" si="89"/>
        <x:v>438.4846826616099</x:v>
      </x:c>
      <x:c r="BC87" s="279"/>
      <x:c r="BD87" s="289">
        <x:f t="shared" si="36"/>
        <x:v>0</x:v>
      </x:c>
      <x:c r="BE87" s="289">
        <x:f t="shared" si="37"/>
        <x:v>876.96936532321979</x:v>
      </x:c>
    </x:row>
    <x:row r="88" ht="15.75" customHeight="1">
      <x:c r="A88" s="21">
        <x:v>112</x:v>
      </x:c>
      <x:c r="B88" s="21">
        <x:f t="shared" si="19"/>
        <x:v>292</x:v>
      </x:c>
      <x:c r="C88" s="21">
        <x:f t="shared" si="0"/>
        <x:v>292</x:v>
      </x:c>
      <x:c r="D88" s="21">
        <x:f t="shared" si="20"/>
        <x:v>112</x:v>
      </x:c>
      <x:c r="E88" s="22" t="n">
        <x:f t="shared" ref="E88:H88" si="113">A88*PI()/180</x:f>
        <x:v>1.9547687622336491</x:v>
      </x:c>
      <x:c r="F88" s="22">
        <x:f t="shared" si="113"/>
        <x:v>5.0963614158234423</x:v>
      </x:c>
      <x:c r="G88" s="22">
        <x:f t="shared" si="113"/>
        <x:v>5.0963614158234423</x:v>
      </x:c>
      <x:c r="H88" s="22">
        <x:f t="shared" si="113"/>
        <x:v>1.9547687622336491</x:v>
      </x:c>
      <x:c r="I88" s="23"/>
      <x:c r="J88" s="23"/>
      <x:c r="K88" s="23"/>
      <x:c r="L88" s="249">
        <x:f t="shared" si="70"/>
        <x:v>1267.960628909444</x:v>
      </x:c>
      <x:c r="M88" s="249">
        <x:f t="shared" si="71"/>
        <x:v>-1267.960628909444</x:v>
      </x:c>
      <x:c r="N88" s="249">
        <x:f t="shared" si="72"/>
        <x:v>-1267.960628909444</x:v>
      </x:c>
      <x:c r="O88" s="249">
        <x:f t="shared" si="73"/>
        <x:v>1267.960628909444</x:v>
      </x:c>
      <x:c r="P88" s="249">
        <x:f t="shared" si="74"/>
        <x:v>-1941.8918063340975</x:v>
      </x:c>
      <x:c r="Q88" s="249">
        <x:f t="shared" si="75"/>
        <x:v>863.58428027069192</x:v>
      </x:c>
      <x:c r="R88" s="249">
        <x:f t="shared" si="76"/>
        <x:v>863.58428027069192</x:v>
      </x:c>
      <x:c r="S88" s="249">
        <x:f t="shared" si="77"/>
        <x:v>-1941.8918063340975</x:v>
      </x:c>
      <x:c r="T88" s="23"/>
      <x:c r="U88" s="23"/>
      <x:c r="V88" s="260">
        <x:f t="shared" si="22"/>
        <x:v>-1308.8465686485802</x:v>
      </x:c>
      <x:c r="W88" s="260">
        <x:f t="shared" si="23"/>
        <x:v>-1283.0753667154468</x:v>
      </x:c>
      <x:c r="X88" s="260">
        <x:f t="shared" si="24"/>
        <x:v>312.6203155657189</x:v>
      </x:c>
      <x:c r="Y88" s="260">
        <x:f t="shared" si="25"/>
        <x:v>2279.3016197983084</x:v>
      </x:c>
      <x:c r="Z88" s="260">
        <x:f t="shared" si="26"/>
        <x:v>-1914.572694809151</x:v>
      </x:c>
      <x:c r="AA88" s="260">
        <x:f t="shared" si="27"/>
        <x:v>-840.96347656905027</x:v>
      </x:c>
      <x:c r="AB88" s="260">
        <x:f t="shared" si="28"/>
        <x:v>1501.9222695900985</x:v>
      </x:c>
      <x:c r="AC88" s="260">
        <x:f t="shared" si="29"/>
        <x:v>428.31305134999764</x:v>
      </x:c>
      <x:c r="AD88" s="260"/>
      <x:c r="AE88" s="282">
        <x:f t="shared" si="39"/>
        <x:v>0</x:v>
      </x:c>
      <x:c r="AF88" s="282">
        <x:f t="shared" si="10"/>
        <x:v>-825.30085043810516</x:v>
      </x:c>
      <x:c r="AJ88" s="272">
        <x:f t="shared" si="78"/>
        <x:v>382.9145389618302</x:v>
      </x:c>
      <x:c r="AK88" s="272">
        <x:f t="shared" si="79"/>
        <x:v>84.096347656905039</x:v>
      </x:c>
      <x:c r="AL88" s="272">
        <x:f t="shared" si="80"/>
        <x:v>150.19222695900984</x:v>
      </x:c>
      <x:c r="AM88" s="272">
        <x:f t="shared" si="81"/>
        <x:v>85.662610269999533</x:v>
      </x:c>
      <x:c r="AN88" s="272">
        <x:f t="shared" si="82"/>
        <x:v>-261.76931372971603</x:v>
      </x:c>
      <x:c r="AO88" s="272">
        <x:f t="shared" si="83"/>
        <x:v>-128.30753667154468</x:v>
      </x:c>
      <x:c r="AP88" s="272">
        <x:f t="shared" si="84"/>
        <x:v>-31.262031556571891</x:v>
      </x:c>
      <x:c r="AQ88" s="272">
        <x:f t="shared" si="85"/>
        <x:v>-455.86032395966168</x:v>
      </x:c>
      <x:c r="AR88" s="272"/>
      <x:c r="AS88" s="286">
        <x:f t="shared" si="32"/>
        <x:v>702.86572384774456</x:v>
      </x:c>
      <x:c r="AT88" s="286">
        <x:f t="shared" si="33"/>
        <x:v>-877.19920591749428</x:v>
      </x:c>
      <x:c r="AY88" s="279">
        <x:f t="shared" si="86"/>
        <x:v>366.22867367072485</x:v>
      </x:c>
      <x:c r="AZ88" s="279">
        <x:f t="shared" si="87"/>
        <x:v>-366.22867367072485</x:v>
      </x:c>
      <x:c r="BA88" s="279">
        <x:f t="shared" si="88"/>
        <x:v>413.9462139747306</x:v>
      </x:c>
      <x:c r="BB88" s="279">
        <x:f t="shared" si="89"/>
        <x:v>413.9462139747306</x:v>
      </x:c>
      <x:c r="BC88" s="279"/>
      <x:c r="BD88" s="289">
        <x:f t="shared" si="36"/>
        <x:v>0</x:v>
      </x:c>
      <x:c r="BE88" s="289">
        <x:f t="shared" si="37"/>
        <x:v>827.89242794946119</x:v>
      </x:c>
    </x:row>
    <x:row r="89" ht="15.75" customHeight="1">
      <x:c r="A89" s="21">
        <x:v>114</x:v>
      </x:c>
      <x:c r="B89" s="21">
        <x:f t="shared" si="19"/>
        <x:v>294</x:v>
      </x:c>
      <x:c r="C89" s="21">
        <x:f t="shared" si="0"/>
        <x:v>294</x:v>
      </x:c>
      <x:c r="D89" s="21">
        <x:f t="shared" si="20"/>
        <x:v>114</x:v>
      </x:c>
      <x:c r="E89" s="22" t="n">
        <x:f t="shared" ref="E89:H89" si="114">A89*PI()/180</x:f>
        <x:v>1.9896753472735356</x:v>
      </x:c>
      <x:c r="F89" s="22">
        <x:f t="shared" si="114"/>
        <x:v>5.1312680008633293</x:v>
      </x:c>
      <x:c r="G89" s="22">
        <x:f t="shared" si="114"/>
        <x:v>5.1312680008633293</x:v>
      </x:c>
      <x:c r="H89" s="22">
        <x:f t="shared" si="114"/>
        <x:v>1.9896753472735356</x:v>
      </x:c>
      <x:c r="I89" s="23"/>
      <x:c r="J89" s="23"/>
      <x:c r="K89" s="23"/>
      <x:c r="L89" s="249">
        <x:f t="shared" si="70"/>
        <x:v>1249.3095811629451</x:v>
      </x:c>
      <x:c r="M89" s="249">
        <x:f t="shared" si="71"/>
        <x:v>-1249.3095811629448</x:v>
      </x:c>
      <x:c r="N89" s="249">
        <x:f t="shared" si="72"/>
        <x:v>-1249.3095811629448</x:v>
      </x:c>
      <x:c r="O89" s="249">
        <x:f t="shared" si="73"/>
        <x:v>1249.3095811629451</x:v>
      </x:c>
      <x:c r="P89" s="249">
        <x:f t="shared" si="74"/>
        <x:v>-2024.5724161636585</x:v>
      </x:c>
      <x:c r="Q89" s="249">
        <x:f t="shared" si="75"/>
        <x:v>1021.529670000519</x:v>
      </x:c>
      <x:c r="R89" s="249">
        <x:f t="shared" si="76"/>
        <x:v>1021.529670000519</x:v>
      </x:c>
      <x:c r="S89" s="249">
        <x:f t="shared" si="77"/>
        <x:v>-2024.5724161636585</x:v>
      </x:c>
      <x:c r="T89" s="23"/>
      <x:c r="U89" s="23"/>
      <x:c r="V89" s="260">
        <x:f t="shared" si="22"/>
        <x:v>-1392.3709387744987</x:v>
      </x:c>
      <x:c r="W89" s="260">
        <x:f t="shared" si="23"/>
        <x:v>-1421.8604325725171</x:v>
      </x:c>
      <x:c r="X89" s="260">
        <x:f t="shared" si="24"/>
        <x:v>465.68027536046003</x:v>
      </x:c>
      <x:c r="Y89" s="260">
        <x:f t="shared" si="25"/>
        <x:v>2348.551095986556</x:v>
      </x:c>
      <x:c r="Z89" s="260">
        <x:f t="shared" si="26"/>
        <x:v>-1928.981873095885</x:v>
      </x:c>
      <x:c r="AA89" s="260">
        <x:f t="shared" si="27"/>
        <x:v>-763.28907142811659</x:v>
      </x:c>
      <x:c r="AB89" s="260">
        <x:f t="shared" si="28"/>
        <x:v>1545.134032185269</x:v>
      </x:c>
      <x:c r="AC89" s="260">
        <x:f t="shared" si="29"/>
        <x:v>379.44123051750114</x:v>
      </x:c>
      <x:c r="AD89" s="260"/>
      <x:c r="AE89" s="282">
        <x:f t="shared" si="39"/>
        <x:v>0</x:v>
      </x:c>
      <x:c r="AF89" s="282">
        <x:f t="shared" si="10"/>
        <x:v>-767.69568182123146</x:v>
      </x:c>
      <x:c r="AJ89" s="272">
        <x:f t="shared" si="78"/>
        <x:v>385.79637461917702</x:v>
      </x:c>
      <x:c r="AK89" s="272">
        <x:f t="shared" si="79"/>
        <x:v>76.328907142811659</x:v>
      </x:c>
      <x:c r="AL89" s="272">
        <x:f t="shared" si="80"/>
        <x:v>154.51340321852692</x:v>
      </x:c>
      <x:c r="AM89" s="272">
        <x:f t="shared" si="81"/>
        <x:v>75.888246103500236</x:v>
      </x:c>
      <x:c r="AN89" s="272">
        <x:f t="shared" si="82"/>
        <x:v>-278.47418775489973</x:v>
      </x:c>
      <x:c r="AO89" s="272">
        <x:f t="shared" si="83"/>
        <x:v>-142.18604325725173</x:v>
      </x:c>
      <x:c r="AP89" s="272">
        <x:f t="shared" si="84"/>
        <x:v>-46.568027536046003</x:v>
      </x:c>
      <x:c r="AQ89" s="272">
        <x:f t="shared" si="85"/>
        <x:v>-469.71021919731123</x:v>
      </x:c>
      <x:c r="AR89" s="272"/>
      <x:c r="AS89" s="286">
        <x:f t="shared" si="32"/>
        <x:v>692.52693108401581</x:v>
      </x:c>
      <x:c r="AT89" s="286">
        <x:f t="shared" si="33"/>
        <x:v>-936.93847774550864</x:v>
      </x:c>
      <x:c r="AY89" s="279">
        <x:f t="shared" si="86"/>
        <x:v>394.21198723486015</x:v>
      </x:c>
      <x:c r="AZ89" s="279">
        <x:f t="shared" si="87"/>
        <x:v>-394.21198723486015</x:v>
      </x:c>
      <x:c r="BA89" s="279">
        <x:f t="shared" si="88"/>
        <x:v>387.39104094309437</x:v>
      </x:c>
      <x:c r="BB89" s="279">
        <x:f t="shared" si="89"/>
        <x:v>387.39104094309437</x:v>
      </x:c>
      <x:c r="BC89" s="279"/>
      <x:c r="BD89" s="289">
        <x:f t="shared" si="36"/>
        <x:v>0</x:v>
      </x:c>
      <x:c r="BE89" s="289">
        <x:f t="shared" si="37"/>
        <x:v>774.78208188618873</x:v>
      </x:c>
    </x:row>
    <x:row r="90" ht="15.75" customHeight="1">
      <x:c r="A90" s="21">
        <x:v>116</x:v>
      </x:c>
      <x:c r="B90" s="21">
        <x:f t="shared" si="19"/>
        <x:v>296</x:v>
      </x:c>
      <x:c r="C90" s="21">
        <x:f t="shared" si="0"/>
        <x:v>296</x:v>
      </x:c>
      <x:c r="D90" s="21">
        <x:f t="shared" si="20"/>
        <x:v>116</x:v>
      </x:c>
      <x:c r="E90" s="22" t="n">
        <x:f t="shared" ref="E90:H90" si="115">A90*PI()/180</x:f>
        <x:v>2.0245819323134224</x:v>
      </x:c>
      <x:c r="F90" s="22">
        <x:f t="shared" si="115"/>
        <x:v>5.1661745859032155</x:v>
      </x:c>
      <x:c r="G90" s="22">
        <x:f t="shared" si="115"/>
        <x:v>5.1661745859032155</x:v>
      </x:c>
      <x:c r="H90" s="22">
        <x:f t="shared" si="115"/>
        <x:v>2.0245819323134224</x:v>
      </x:c>
      <x:c r="I90" s="23"/>
      <x:c r="J90" s="23"/>
      <x:c r="K90" s="23"/>
      <x:c r="L90" s="249">
        <x:f t="shared" si="70"/>
        <x:v>1229.1364421331873</x:v>
      </x:c>
      <x:c r="M90" s="249">
        <x:f t="shared" si="71"/>
        <x:v>-1229.1364421331873</x:v>
      </x:c>
      <x:c r="N90" s="249">
        <x:f t="shared" si="72"/>
        <x:v>-1229.1364421331873</x:v>
      </x:c>
      <x:c r="O90" s="249">
        <x:f t="shared" si="73"/>
        <x:v>1229.1364421331873</x:v>
      </x:c>
      <x:c r="P90" s="249">
        <x:f t="shared" si="74"/>
        <x:v>-2102.9540611883522</x:v>
      </x:c>
      <x:c r="Q90" s="249">
        <x:f t="shared" si="75"/>
        <x:v>1180.0628183592764</x:v>
      </x:c>
      <x:c r="R90" s="249">
        <x:f t="shared" si="76"/>
        <x:v>1180.0628183592764</x:v>
      </x:c>
      <x:c r="S90" s="249">
        <x:f t="shared" si="77"/>
        <x:v>-2102.9540611883522</x:v>
      </x:c>
      <x:c r="T90" s="23"/>
      <x:c r="U90" s="23"/>
      <x:c r="V90" s="260">
        <x:f t="shared" si="22"/>
        <x:v>-1472.506062422864</x:v>
      </x:c>
      <x:c r="W90" s="260">
        <x:f t="shared" si="23"/>
        <x:v>-1560.6060374802626</x:v>
      </x:c>
      <x:c r="X90" s="260">
        <x:f t="shared" si="24"/>
        <x:v>619.86573243917724</x:v>
      </x:c>
      <x:c r="Y90" s="260">
        <x:f t="shared" si="25"/>
        <x:v>2413.2463674639494</x:v>
      </x:c>
      <x:c r="Z90" s="260">
        <x:f t="shared" si="26"/>
        <x:v>-1940.3396797922592</x:v>
      </x:c>
      <x:c r="AA90" s="260">
        <x:f t="shared" si="27"/>
        <x:v>-683.98351181444582</x:v>
      </x:c>
      <x:c r="AB90" s="260">
        <x:f t="shared" si="28"/>
        <x:v>1587.1644912867448</x:v>
      </x:c>
      <x:c r="AC90" s="260">
        <x:f t="shared" si="29"/>
        <x:v>330.80832330893156</x:v>
      </x:c>
      <x:c r="AD90" s="260"/>
      <x:c r="AE90" s="282">
        <x:f t="shared" si="39"/>
        <x:v>0</x:v>
      </x:c>
      <x:c r="AF90" s="282">
        <x:f t="shared" si="10"/>
        <x:v>-706.35037701102885</x:v>
      </x:c>
      <x:c r="AJ90" s="272">
        <x:f t="shared" si="78"/>
        <x:v>388.06793595845187</x:v>
      </x:c>
      <x:c r="AK90" s="272">
        <x:f t="shared" si="79"/>
        <x:v>68.398351181444582</x:v>
      </x:c>
      <x:c r="AL90" s="272">
        <x:f t="shared" si="80"/>
        <x:v>158.7164491286745</x:v>
      </x:c>
      <x:c r="AM90" s="272">
        <x:f t="shared" si="81"/>
        <x:v>66.161664661786318</x:v>
      </x:c>
      <x:c r="AN90" s="272">
        <x:f t="shared" si="82"/>
        <x:v>-294.50121248457282</x:v>
      </x:c>
      <x:c r="AO90" s="272">
        <x:f t="shared" si="83"/>
        <x:v>-156.06060374802627</x:v>
      </x:c>
      <x:c r="AP90" s="272">
        <x:f t="shared" si="84"/>
        <x:v>-61.986573243917725</x:v>
      </x:c>
      <x:c r="AQ90" s="272">
        <x:f t="shared" si="85"/>
        <x:v>-482.64927349278992</x:v>
      </x:c>
      <x:c r="AR90" s="272"/>
      <x:c r="AS90" s="286">
        <x:f t="shared" si="32"/>
        <x:v>681.34440093035721</x:v>
      </x:c>
      <x:c r="AT90" s="286">
        <x:f t="shared" si="33"/>
        <x:v>-995.19766296930675</x:v>
      </x:c>
      <x:c r="AY90" s="279">
        <x:f t="shared" si="86"/>
        <x:v>420.27473962323756</x:v>
      </x:c>
      <x:c r="AZ90" s="279">
        <x:f t="shared" si="87"/>
        <x:v>-420.27473962323756</x:v>
      </x:c>
      <x:c r="BA90" s="279">
        <x:f t="shared" si="88"/>
        <x:v>358.94853770039458</x:v>
      </x:c>
      <x:c r="BB90" s="279">
        <x:f t="shared" si="89"/>
        <x:v>358.94853770039458</x:v>
      </x:c>
      <x:c r="BC90" s="279"/>
      <x:c r="BD90" s="289">
        <x:f t="shared" si="36"/>
        <x:v>0</x:v>
      </x:c>
      <x:c r="BE90" s="289">
        <x:f t="shared" si="37"/>
        <x:v>717.89707540078916</x:v>
      </x:c>
    </x:row>
    <x:row r="91" ht="15.75" customHeight="1">
      <x:c r="A91" s="21">
        <x:v>118</x:v>
      </x:c>
      <x:c r="B91" s="21">
        <x:f t="shared" si="19"/>
        <x:v>298</x:v>
      </x:c>
      <x:c r="C91" s="21">
        <x:f t="shared" si="0"/>
        <x:v>298</x:v>
      </x:c>
      <x:c r="D91" s="21">
        <x:f t="shared" si="20"/>
        <x:v>118</x:v>
      </x:c>
      <x:c r="E91" s="22" t="n">
        <x:f t="shared" ref="E91:H91" si="116">A91*PI()/180</x:f>
        <x:v>2.0594885173533086</x:v>
      </x:c>
      <x:c r="F91" s="22">
        <x:f t="shared" si="116"/>
        <x:v>5.2010811709431017</x:v>
      </x:c>
      <x:c r="G91" s="22">
        <x:f t="shared" si="116"/>
        <x:v>5.2010811709431017</x:v>
      </x:c>
      <x:c r="H91" s="22">
        <x:f t="shared" si="116"/>
        <x:v>2.0594885173533086</x:v>
      </x:c>
      <x:c r="I91" s="23"/>
      <x:c r="J91" s="23"/>
      <x:c r="K91" s="23"/>
      <x:c r="L91" s="249">
        <x:f t="shared" si="70"/>
        <x:v>1207.4657896826452</x:v>
      </x:c>
      <x:c r="M91" s="249">
        <x:f t="shared" si="71"/>
        <x:v>-1207.4657896826452</x:v>
      </x:c>
      <x:c r="N91" s="249">
        <x:f t="shared" si="72"/>
        <x:v>-1207.4657896826452</x:v>
      </x:c>
      <x:c r="O91" s="249">
        <x:f t="shared" si="73"/>
        <x:v>1207.4657896826452</x:v>
      </x:c>
      <x:c r="P91" s="249">
        <x:f t="shared" si="74"/>
        <x:v>-2177.087664350991</x:v>
      </x:c>
      <x:c r="Q91" s="249">
        <x:f t="shared" si="75"/>
        <x:v>1338.8441582223406</x:v>
      </x:c>
      <x:c r="R91" s="249">
        <x:f t="shared" si="76"/>
        <x:v>1338.8441582223406</x:v>
      </x:c>
      <x:c r="S91" s="249">
        <x:f t="shared" si="77"/>
        <x:v>-2177.087664350991</x:v>
      </x:c>
      <x:c r="T91" s="23"/>
      <x:c r="U91" s="23"/>
      <x:c r="V91" s="260">
        <x:f t="shared" si="22"/>
        <x:v>-1549.2895807175044</x:v>
      </x:c>
      <x:c r="W91" s="260">
        <x:f t="shared" si="23"/>
        <x:v>-1699.0078678631016</x:v>
      </x:c>
      <x:c r="X91" s="260">
        <x:f t="shared" si="24"/>
        <x:v>774.85356214474496</x:v>
      </x:c>
      <x:c r="Y91" s="260">
        <x:f t="shared" si="25"/>
        <x:v>2473.4438864358608</x:v>
      </x:c>
      <x:c r="Z91" s="260">
        <x:f t="shared" si="26"/>
        <x:v>-1948.6883092489079</x:v>
      </x:c>
      <x:c r="AA91" s="260">
        <x:f t="shared" si="27"/>
        <x:v>-603.19945142489928</x:v>
      </x:c>
      <x:c r="AB91" s="260">
        <x:f t="shared" si="28"/>
        <x:v>1627.9064071658488</x:v>
      </x:c>
      <x:c r="AC91" s="260">
        <x:f t="shared" si="29"/>
        <x:v>282.41754934184019</x:v>
      </x:c>
      <x:c r="AD91" s="260"/>
      <x:c r="AE91" s="282">
        <x:f t="shared" si="39"/>
        <x:v>0</x:v>
      </x:c>
      <x:c r="AF91" s="282">
        <x:f t="shared" si="10"/>
        <x:v>-641.56380416611796</x:v>
      </x:c>
      <x:c r="AJ91" s="272">
        <x:f t="shared" si="78"/>
        <x:v>389.7376618497816</x:v>
      </x:c>
      <x:c r="AK91" s="272">
        <x:f t="shared" si="79"/>
        <x:v>60.319945142489928</x:v>
      </x:c>
      <x:c r="AL91" s="272">
        <x:f t="shared" si="80"/>
        <x:v>162.7906407165849</x:v>
      </x:c>
      <x:c r="AM91" s="272">
        <x:f t="shared" si="81"/>
        <x:v>56.483509868368039</x:v>
      </x:c>
      <x:c r="AN91" s="272">
        <x:f t="shared" si="82"/>
        <x:v>-309.85791614350092</x:v>
      </x:c>
      <x:c r="AO91" s="272">
        <x:f t="shared" si="83"/>
        <x:v>-169.90078678631016</x:v>
      </x:c>
      <x:c r="AP91" s="272">
        <x:f t="shared" si="84"/>
        <x:v>-77.485356214474507</x:v>
      </x:c>
      <x:c r="AQ91" s="272">
        <x:f t="shared" si="85"/>
        <x:v>-494.68877728717217</x:v>
      </x:c>
      <x:c r="AR91" s="272"/>
      <x:c r="AS91" s="286">
        <x:f t="shared" si="32"/>
        <x:v>669.33175757722449</x:v>
      </x:c>
      <x:c r="AT91" s="286">
        <x:f t="shared" si="33"/>
        <x:v>-1051.9328364314576</x:v>
      </x:c>
      <x:c r="AY91" s="279">
        <x:f t="shared" si="86"/>
        <x:v>444.28995572603969</x:v>
      </x:c>
      <x:c r="AZ91" s="279">
        <x:f t="shared" si="87"/>
        <x:v>-444.28995572603969</x:v>
      </x:c>
      <x:c r="BA91" s="279">
        <x:f t="shared" si="88"/>
        <x:v>328.75727326339927</x:v>
      </x:c>
      <x:c r="BB91" s="279">
        <x:f t="shared" si="89"/>
        <x:v>328.75727326339927</x:v>
      </x:c>
      <x:c r="BC91" s="279"/>
      <x:c r="BD91" s="289">
        <x:f t="shared" si="36"/>
        <x:v>0</x:v>
      </x:c>
      <x:c r="BE91" s="289">
        <x:f t="shared" si="37"/>
        <x:v>657.51454652679854</x:v>
      </x:c>
    </x:row>
    <x:row r="92" ht="15.75" customHeight="1">
      <x:c r="A92" s="21">
        <x:v>120</x:v>
      </x:c>
      <x:c r="B92" s="21">
        <x:f t="shared" si="19"/>
        <x:v>300</x:v>
      </x:c>
      <x:c r="C92" s="21">
        <x:f t="shared" si="0"/>
        <x:v>300</x:v>
      </x:c>
      <x:c r="D92" s="21">
        <x:f t="shared" si="20"/>
        <x:v>120</x:v>
      </x:c>
      <x:c r="E92" s="22" t="n">
        <x:f t="shared" ref="E92:H92" si="117">A92*PI()/180</x:f>
        <x:v>2.0943951023931953</x:v>
      </x:c>
      <x:c r="F92" s="22">
        <x:f t="shared" si="117"/>
        <x:v>5.2359877559829888</x:v>
      </x:c>
      <x:c r="G92" s="22">
        <x:f t="shared" si="117"/>
        <x:v>5.2359877559829888</x:v>
      </x:c>
      <x:c r="H92" s="22">
        <x:f t="shared" si="117"/>
        <x:v>2.0943951023931953</x:v>
      </x:c>
      <x:c r="I92" s="23"/>
      <x:c r="J92" s="23"/>
      <x:c r="K92" s="23"/>
      <x:c r="L92" s="249">
        <x:f t="shared" si="70"/>
        <x:v>1184.3240261632211</x:v>
      </x:c>
      <x:c r="M92" s="249">
        <x:f t="shared" si="71"/>
        <x:v>-1184.3240261632209</x:v>
      </x:c>
      <x:c r="N92" s="249">
        <x:f t="shared" si="72"/>
        <x:v>-1184.3240261632209</x:v>
      </x:c>
      <x:c r="O92" s="249">
        <x:f t="shared" si="73"/>
        <x:v>1184.3240261632211</x:v>
      </x:c>
      <x:c r="P92" s="249">
        <x:f t="shared" si="74"/>
        <x:v>-2247.0375377936598</x:v>
      </x:c>
      <x:c r="Q92" s="249">
        <x:f t="shared" si="75"/>
        <x:v>1497.525606467354</x:v>
      </x:c>
      <x:c r="R92" s="249">
        <x:f t="shared" si="76"/>
        <x:v>1497.525606467354</x:v>
      </x:c>
      <x:c r="S92" s="249">
        <x:f t="shared" si="77"/>
        <x:v>-2247.0375377936598</x:v>
      </x:c>
      <x:c r="T92" s="23"/>
      <x:c r="U92" s="23"/>
      <x:c r="V92" s="260">
        <x:f t="shared" si="22"/>
        <x:v>-1622.7708065875354</x:v>
      </x:c>
      <x:c r="W92" s="260">
        <x:f t="shared" si="23"/>
        <x:v>-1836.7544405913241</x:v>
      </x:c>
      <x:c r="X92" s="260">
        <x:f t="shared" si="24"/>
        <x:v>930.31207386215647</x:v>
      </x:c>
      <x:c r="Y92" s="260">
        <x:f t="shared" si="25"/>
        <x:v>2529.213173316703</x:v>
      </x:c>
      <x:c r="Z92" s="260">
        <x:f t="shared" si="26"/>
        <x:v>-1954.0767652496397</x:v>
      </x:c>
      <x:c r="AA92" s="260">
        <x:f t="shared" si="27"/>
        <x:v>-521.09448849602165</x:v>
      </x:c>
      <x:c r="AB92" s="260">
        <x:f t="shared" si="28"/>
        <x:v>1667.250966771101</x:v>
      </x:c>
      <x:c r="AC92" s="260">
        <x:f t="shared" si="29"/>
        <x:v>234.26869001748366</x:v>
      </x:c>
      <x:c r="AD92" s="260"/>
      <x:c r="AE92" s="282">
        <x:f t="shared" si="39"/>
        <x:v>0</x:v>
      </x:c>
      <x:c r="AF92" s="282">
        <x:f t="shared" si="10"/>
        <x:v>-573.65159695707678</x:v>
      </x:c>
      <x:c r="AJ92" s="272">
        <x:f t="shared" si="78"/>
        <x:v>390.81535304992798</x:v>
      </x:c>
      <x:c r="AK92" s="272">
        <x:f t="shared" si="79"/>
        <x:v>52.109448849602167</x:v>
      </x:c>
      <x:c r="AL92" s="272">
        <x:f t="shared" si="80"/>
        <x:v>166.72509667711012</x:v>
      </x:c>
      <x:c r="AM92" s="272">
        <x:f t="shared" si="81"/>
        <x:v>46.853738003496737</x:v>
      </x:c>
      <x:c r="AN92" s="272">
        <x:f t="shared" si="82"/>
        <x:v>-324.55416131750712</x:v>
      </x:c>
      <x:c r="AO92" s="272">
        <x:f t="shared" si="83"/>
        <x:v>-183.67544405913242</x:v>
      </x:c>
      <x:c r="AP92" s="272">
        <x:f t="shared" si="84"/>
        <x:v>-93.031207386215655</x:v>
      </x:c>
      <x:c r="AQ92" s="272">
        <x:f t="shared" si="85"/>
        <x:v>-505.84263466334062</x:v>
      </x:c>
      <x:c r="AR92" s="272"/>
      <x:c r="AS92" s="286">
        <x:f t="shared" si="32"/>
        <x:v>656.50363658013691</x:v>
      </x:c>
      <x:c r="AT92" s="286">
        <x:f t="shared" si="33"/>
        <x:v>-1107.1034474261958</x:v>
      </x:c>
      <x:c r="AY92" s="279">
        <x:f t="shared" si="86"/>
        <x:v>466.1406358244144</x:v>
      </x:c>
      <x:c r="AZ92" s="279">
        <x:f t="shared" si="87"/>
        <x:v>-466.1406358244144</x:v>
      </x:c>
      <x:c r="BA92" s="279">
        <x:f t="shared" si="88"/>
        <x:v>296.96433643763078</x:v>
      </x:c>
      <x:c r="BB92" s="279">
        <x:f t="shared" si="89"/>
        <x:v>296.96433643763078</x:v>
      </x:c>
      <x:c r="BC92" s="279"/>
      <x:c r="BD92" s="289">
        <x:f t="shared" si="36"/>
        <x:v>0</x:v>
      </x:c>
      <x:c r="BE92" s="289">
        <x:f t="shared" si="37"/>
        <x:v>593.92867287526155</x:v>
      </x:c>
    </x:row>
    <x:row r="93" ht="15.75" customHeight="1">
      <x:c r="A93" s="21">
        <x:v>122</x:v>
      </x:c>
      <x:c r="B93" s="21">
        <x:f t="shared" si="19"/>
        <x:v>302</x:v>
      </x:c>
      <x:c r="C93" s="21">
        <x:f t="shared" si="0"/>
        <x:v>302</x:v>
      </x:c>
      <x:c r="D93" s="21">
        <x:f t="shared" si="20"/>
        <x:v>122</x:v>
      </x:c>
      <x:c r="E93" s="22" t="n">
        <x:f t="shared" ref="E93:H93" si="118">A93*PI()/180</x:f>
        <x:v>2.129301687433082</x:v>
      </x:c>
      <x:c r="F93" s="22">
        <x:f t="shared" si="118"/>
        <x:v>5.270894341022875</x:v>
      </x:c>
      <x:c r="G93" s="22">
        <x:f t="shared" si="118"/>
        <x:v>5.270894341022875</x:v>
      </x:c>
      <x:c r="H93" s="22">
        <x:f t="shared" si="118"/>
        <x:v>2.1293016874330819</x:v>
      </x:c>
      <x:c r="I93" s="23"/>
      <x:c r="J93" s="23"/>
      <x:c r="K93" s="23"/>
      <x:c r="L93" s="249">
        <x:f t="shared" si="70"/>
        <x:v>1159.7393462490481</x:v>
      </x:c>
      <x:c r="M93" s="249">
        <x:f t="shared" si="71"/>
        <x:v>-1159.7393462490484</x:v>
      </x:c>
      <x:c r="N93" s="249">
        <x:f t="shared" si="72"/>
        <x:v>-1159.7393462490484</x:v>
      </x:c>
      <x:c r="O93" s="249">
        <x:f t="shared" si="73"/>
        <x:v>1159.7393462490481</x:v>
      </x:c>
      <x:c r="P93" s="249">
        <x:f t="shared" si="74"/>
        <x:v>-2312.8805511491819</x:v>
      </x:c>
      <x:c r="Q93" s="249">
        <x:f t="shared" si="75"/>
        <x:v>1655.751741413962</x:v>
      </x:c>
      <x:c r="R93" s="249">
        <x:f t="shared" si="76"/>
        <x:v>1655.751741413962</x:v>
      </x:c>
      <x:c r="S93" s="249">
        <x:f t="shared" si="77"/>
        <x:v>-2312.8805511491819</x:v>
      </x:c>
      <x:c r="T93" s="23"/>
      <x:c r="U93" s="23"/>
      <x:c r="V93" s="260">
        <x:f t="shared" si="22"/>
        <x:v>-1693.0099686787221</x:v>
      </x:c>
      <x:c r="W93" s="260">
        <x:f t="shared" si="23"/>
        <x:v>-1973.5281784837114</x:v>
      </x:c>
      <x:c r="X93" s="260">
        <x:f t="shared" si="24"/>
        <x:v>1085.902111140849</x:v>
      </x:c>
      <x:c r="Y93" s="260">
        <x:f t="shared" si="25"/>
        <x:v>2580.6360360215845</x:v>
      </x:c>
      <x:c r="Z93" s="260">
        <x:f t="shared" si="26"/>
        <x:v>-1956.5605130117456</x:v>
      </x:c>
      <x:c r="AA93" s="260">
        <x:f t="shared" si="27"/>
        <x:v>-437.83068549874645</x:v>
      </x:c>
      <x:c r="AB93" s="260">
        <x:f t="shared" si="28"/>
        <x:v>1705.0882045962858</x:v>
      </x:c>
      <x:c r="AC93" s="260">
        <x:f t="shared" si="29"/>
        <x:v>186.3583770832862</x:v>
      </x:c>
      <x:c r="AD93" s="260"/>
      <x:c r="AE93" s="282">
        <x:f t="shared" si="39"/>
        <x:v>0</x:v>
      </x:c>
      <x:c r="AF93" s="282">
        <x:f t="shared" si="10"/>
        <x:v>-502.94461683091993</x:v>
      </x:c>
      <x:c r="AJ93" s="272">
        <x:f t="shared" si="78"/>
        <x:v>391.31210260234911</x:v>
      </x:c>
      <x:c r="AK93" s="272">
        <x:f t="shared" si="79"/>
        <x:v>43.783068549874649</x:v>
      </x:c>
      <x:c r="AL93" s="272">
        <x:f t="shared" si="80"/>
        <x:v>170.50882045962859</x:v>
      </x:c>
      <x:c r="AM93" s="272">
        <x:f t="shared" si="81"/>
        <x:v>37.271675416657239</x:v>
      </x:c>
      <x:c r="AN93" s="272">
        <x:f t="shared" si="82"/>
        <x:v>-338.60199373574443</x:v>
      </x:c>
      <x:c r="AO93" s="272">
        <x:f t="shared" si="83"/>
        <x:v>-197.35281784837116</x:v>
      </x:c>
      <x:c r="AP93" s="272">
        <x:f t="shared" si="84"/>
        <x:v>-108.59021111408491</x:v>
      </x:c>
      <x:c r="AQ93" s="272">
        <x:f t="shared" si="85"/>
        <x:v>-516.12720720431696</x:v>
      </x:c>
      <x:c r="AR93" s="272"/>
      <x:c r="AS93" s="286">
        <x:f t="shared" si="32"/>
        <x:v>642.87566702850961</x:v>
      </x:c>
      <x:c r="AT93" s="286">
        <x:f t="shared" si="33"/>
        <x:v>-1160.6722299025173</x:v>
      </x:c>
      <x:c r="AY93" s="279">
        <x:f t="shared" si="86"/>
        <x:v>485.72032560134579</x:v>
      </x:c>
      <x:c r="AZ93" s="279">
        <x:f t="shared" si="87"/>
        <x:v>-485.72032560134579</x:v>
      </x:c>
      <x:c r="BA93" s="279">
        <x:f t="shared" si="88"/>
        <x:v>263.72461921548836</x:v>
      </x:c>
      <x:c r="BB93" s="279">
        <x:f t="shared" si="89"/>
        <x:v>263.72461921548836</x:v>
      </x:c>
      <x:c r="BC93" s="279"/>
      <x:c r="BD93" s="289">
        <x:f t="shared" si="36"/>
        <x:v>0</x:v>
      </x:c>
      <x:c r="BE93" s="289">
        <x:f t="shared" si="37"/>
        <x:v>527.44923843097672</x:v>
      </x:c>
    </x:row>
    <x:row r="94" ht="15.75" customHeight="1">
      <x:c r="A94" s="21">
        <x:v>124</x:v>
      </x:c>
      <x:c r="B94" s="21">
        <x:f t="shared" si="19"/>
        <x:v>304</x:v>
      </x:c>
      <x:c r="C94" s="21">
        <x:f t="shared" si="0"/>
        <x:v>304</x:v>
      </x:c>
      <x:c r="D94" s="21">
        <x:f t="shared" si="20"/>
        <x:v>124</x:v>
      </x:c>
      <x:c r="E94" s="22" t="n">
        <x:f t="shared" ref="E94:H94" si="119">A94*PI()/180</x:f>
        <x:v>2.1642082724729685</x:v>
      </x:c>
      <x:c r="F94" s="22">
        <x:f t="shared" si="119"/>
        <x:v>5.3058009260627612</x:v>
      </x:c>
      <x:c r="G94" s="22">
        <x:f t="shared" si="119"/>
        <x:v>5.3058009260627612</x:v>
      </x:c>
      <x:c r="H94" s="22">
        <x:f t="shared" si="119"/>
        <x:v>2.1642082724729685</x:v>
      </x:c>
      <x:c r="I94" s="23"/>
      <x:c r="J94" s="23"/>
      <x:c r="K94" s="23"/>
      <x:c r="L94" s="249">
        <x:f t="shared" si="70"/>
        <x:v>1133.7417025856223</x:v>
      </x:c>
      <x:c r="M94" s="249">
        <x:f t="shared" si="71"/>
        <x:v>-1133.7417025856228</x:v>
      </x:c>
      <x:c r="N94" s="249">
        <x:f t="shared" si="72"/>
        <x:v>-1133.7417025856228</x:v>
      </x:c>
      <x:c r="O94" s="249">
        <x:f t="shared" si="73"/>
        <x:v>1133.7417025856223</x:v>
      </x:c>
      <x:c r="P94" s="249">
        <x:f t="shared" si="74"/>
        <x:v>-2374.705248187594</x:v>
      </x:c>
      <x:c r="Q94" s="249">
        <x:f t="shared" si="75"/>
        <x:v>1813.1610255501332</x:v>
      </x:c>
      <x:c r="R94" s="249">
        <x:f t="shared" si="76"/>
        <x:v>1813.1610255501332</x:v>
      </x:c>
      <x:c r="S94" s="249">
        <x:f t="shared" si="77"/>
        <x:v>-2374.705248187594</x:v>
      </x:c>
      <x:c r="T94" s="23"/>
      <x:c r="U94" s="23"/>
      <x:c r="V94" s="260">
        <x:f t="shared" si="22"/>
        <x:v>-1760.0774083867468</x:v>
      </x:c>
      <x:c r="W94" s="260">
        <x:f t="shared" si="23"/>
        <x:v>-2109.0065268138492</x:v>
      </x:c>
      <x:c r="X94" s="260">
        <x:f t="shared" si="24"/>
        <x:v>1241.2781944920353</x:v>
      </x:c>
      <x:c r="Y94" s="260">
        <x:f t="shared" si="25"/>
        <x:v>2627.8057407085603</x:v>
      </x:c>
      <x:c r="Z94" s="260">
        <x:f t="shared" si="26"/>
        <x:v>-1956.2011094051761</x:v>
      </x:c>
      <x:c r="AA94" s="260">
        <x:f t="shared" si="27"/>
        <x:v>-353.57406948522396</x:v>
      </x:c>
      <x:c r="AB94" s="260">
        <x:f t="shared" si="28"/>
        <x:v>1741.3074388614868</x:v>
      </x:c>
      <x:c r="AC94" s="260">
        <x:f t="shared" si="29"/>
        <x:v>138.68039894153412</x:v>
      </x:c>
      <x:c r="AD94" s="260"/>
      <x:c r="AE94" s="282">
        <x:f t="shared" si="39"/>
        <x:v>0</x:v>
      </x:c>
      <x:c r="AF94" s="282">
        <x:f t="shared" si="10"/>
        <x:v>-429.78734108737922</x:v>
      </x:c>
      <x:c r="AJ94" s="272">
        <x:f t="shared" si="78"/>
        <x:v>391.24022188103527</x:v>
      </x:c>
      <x:c r="AK94" s="272">
        <x:f t="shared" si="79"/>
        <x:v>35.357406948522396</x:v>
      </x:c>
      <x:c r="AL94" s="272">
        <x:f t="shared" si="80"/>
        <x:v>174.13074388614871</x:v>
      </x:c>
      <x:c r="AM94" s="272">
        <x:f t="shared" si="81"/>
        <x:v>27.736079788306824</x:v>
      </x:c>
      <x:c r="AN94" s="272">
        <x:f t="shared" si="82"/>
        <x:v>-352.01548167734938</x:v>
      </x:c>
      <x:c r="AO94" s="272">
        <x:f t="shared" si="83"/>
        <x:v>-210.90065268138494</x:v>
      </x:c>
      <x:c r="AP94" s="272">
        <x:f t="shared" si="84"/>
        <x:v>-124.12781944920353</x:v>
      </x:c>
      <x:c r="AQ94" s="272">
        <x:f t="shared" si="85"/>
        <x:v>-525.56114814171212</x:v>
      </x:c>
      <x:c r="AR94" s="272"/>
      <x:c r="AS94" s="286">
        <x:f t="shared" si="32"/>
        <x:v>628.46445250401325</x:v>
      </x:c>
      <x:c r="AT94" s="286">
        <x:f t="shared" si="33"/>
        <x:v>-1212.6051019496499</x:v>
      </x:c>
      <x:c r="AY94" s="279">
        <x:f t="shared" si="86"/>
        <x:v>502.93363477638383</x:v>
      </x:c>
      <x:c r="AZ94" s="279">
        <x:f t="shared" si="87"/>
        <x:v>-502.93363477638383</x:v>
      </x:c>
      <x:c r="BA94" s="279">
        <x:f t="shared" si="88"/>
        <x:v>229.20006215803411</x:v>
      </x:c>
      <x:c r="BB94" s="279">
        <x:f t="shared" si="89"/>
        <x:v>229.20006215803411</x:v>
      </x:c>
      <x:c r="BC94" s="279"/>
      <x:c r="BD94" s="289">
        <x:f t="shared" si="36"/>
        <x:v>0</x:v>
      </x:c>
      <x:c r="BE94" s="289">
        <x:f t="shared" si="37"/>
        <x:v>458.40012431606823</x:v>
      </x:c>
    </x:row>
    <x:row r="95" ht="15.75" customHeight="1">
      <x:c r="A95" s="21">
        <x:v>126</x:v>
      </x:c>
      <x:c r="B95" s="21">
        <x:f t="shared" si="19"/>
        <x:v>306</x:v>
      </x:c>
      <x:c r="C95" s="21">
        <x:f t="shared" si="0"/>
        <x:v>306</x:v>
      </x:c>
      <x:c r="D95" s="21">
        <x:f t="shared" si="20"/>
        <x:v>126</x:v>
      </x:c>
      <x:c r="E95" s="22" t="n">
        <x:f t="shared" ref="E95:H95" si="120">A95*PI()/180</x:f>
        <x:v>2.199114857512855</x:v>
      </x:c>
      <x:c r="F95" s="22">
        <x:f t="shared" si="120"/>
        <x:v>5.3407075111026483</x:v>
      </x:c>
      <x:c r="G95" s="22">
        <x:f t="shared" si="120"/>
        <x:v>5.3407075111026483</x:v>
      </x:c>
      <x:c r="H95" s="22">
        <x:f t="shared" si="120"/>
        <x:v>2.1991148575128552</x:v>
      </x:c>
      <x:c r="I95" s="23"/>
      <x:c r="J95" s="23"/>
      <x:c r="K95" s="23"/>
      <x:c r="L95" s="249">
        <x:f t="shared" si="70"/>
        <x:v>1106.3627692971172</x:v>
      </x:c>
      <x:c r="M95" s="249">
        <x:f t="shared" si="71"/>
        <x:v>-1106.3627692971172</x:v>
      </x:c>
      <x:c r="N95" s="249">
        <x:f t="shared" si="72"/>
        <x:v>-1106.3627692971172</x:v>
      </x:c>
      <x:c r="O95" s="249">
        <x:f t="shared" si="73"/>
        <x:v>1106.3627692971172</x:v>
      </x:c>
      <x:c r="P95" s="249">
        <x:f t="shared" si="74"/>
        <x:v>-2432.6109167411732</x:v>
      </x:c>
      <x:c r="Q95" s="249">
        <x:f t="shared" si="75"/>
        <x:v>1969.3870682079378</x:v>
      </x:c>
      <x:c r="R95" s="249">
        <x:f t="shared" si="76"/>
        <x:v>1969.3870682079378</x:v>
      </x:c>
      <x:c r="S95" s="249">
        <x:f t="shared" si="77"/>
        <x:v>-2432.6109167411732</x:v>
      </x:c>
      <x:c r="T95" s="23"/>
      <x:c r="U95" s="23"/>
      <x:c r="V95" s="260">
        <x:f t="shared" si="22"/>
        <x:v>-1824.052734545121</x:v>
      </x:c>
      <x:c r="W95" s="260">
        <x:f t="shared" si="23"/>
        <x:v>-2242.86310590529</x:v>
      </x:c>
      <x:c r="X95" s="260">
        <x:f t="shared" si="24"/>
        <x:v>1396.0897019141562</x:v>
      </x:c>
      <x:c r="Y95" s="260">
        <x:f t="shared" si="25"/>
        <x:v>2670.8261385362548</x:v>
      </x:c>
      <x:c r="Z95" s="260">
        <x:f t="shared" si="26"/>
        <x:v>-1953.0658133134134</x:v>
      </x:c>
      <x:c r="AA95" s="260">
        <x:f t="shared" si="27"/>
        <x:v>-268.49411516887835</x:v>
      </x:c>
      <x:c r="AB95" s="260">
        <x:f t="shared" si="28"/>
        <x:v>1775.7977210033482</x:v>
      </x:c>
      <x:c r="AC95" s="260">
        <x:f t="shared" si="29"/>
        <x:v>91.22602285881328</x:v>
      </x:c>
      <x:c r="AD95" s="260"/>
      <x:c r="AE95" s="282">
        <x:f t="shared" si="39"/>
        <x:v>0</x:v>
      </x:c>
      <x:c r="AF95" s="282">
        <x:f t="shared" si="10"/>
        <x:v>-354.53618462013048</x:v>
      </x:c>
      <x:c r="AJ95" s="272">
        <x:f t="shared" si="78"/>
        <x:v>390.61316266268273</x:v>
      </x:c>
      <x:c r="AK95" s="272">
        <x:f t="shared" si="79"/>
        <x:v>26.849411516887837</x:v>
      </x:c>
      <x:c r="AL95" s="272">
        <x:f t="shared" si="80"/>
        <x:v>177.57977210033482</x:v>
      </x:c>
      <x:c r="AM95" s="272">
        <x:f t="shared" si="81"/>
        <x:v>18.245204571762656</x:v>
      </x:c>
      <x:c r="AN95" s="272">
        <x:f t="shared" si="82"/>
        <x:v>-364.8105469090242</x:v>
      </x:c>
      <x:c r="AO95" s="272">
        <x:f t="shared" si="83"/>
        <x:v>-224.28631059052901</x:v>
      </x:c>
      <x:c r="AP95" s="272">
        <x:f t="shared" si="84"/>
        <x:v>-139.60897019141564</x:v>
      </x:c>
      <x:c r="AQ95" s="272">
        <x:f t="shared" si="85"/>
        <x:v>-534.16522770725101</x:v>
      </x:c>
      <x:c r="AR95" s="272"/>
      <x:c r="AS95" s="286">
        <x:f t="shared" si="32"/>
        <x:v>613.28755085166802</x:v>
      </x:c>
      <x:c r="AT95" s="286">
        <x:f t="shared" si="33"/>
        <x:v>-1262.8710553982198</x:v>
      </x:c>
      <x:c r="AY95" s="279">
        <x:f t="shared" si="86"/>
        <x:v>517.6967018375035</x:v>
      </x:c>
      <x:c r="AZ95" s="279">
        <x:f t="shared" si="87"/>
        <x:v>-517.6967018375035</x:v>
      </x:c>
      <x:c r="BA95" s="279">
        <x:f t="shared" si="88"/>
        <x:v>193.55886543685563</x:v>
      </x:c>
      <x:c r="BB95" s="279">
        <x:f t="shared" si="89"/>
        <x:v>193.55886543685563</x:v>
      </x:c>
      <x:c r="BC95" s="279"/>
      <x:c r="BD95" s="289">
        <x:f t="shared" si="36"/>
        <x:v>0</x:v>
      </x:c>
      <x:c r="BE95" s="289">
        <x:f t="shared" si="37"/>
        <x:v>387.11773087371125</x:v>
      </x:c>
    </x:row>
    <x:row r="96" ht="15.75" customHeight="1">
      <x:c r="A96" s="21">
        <x:v>128</x:v>
      </x:c>
      <x:c r="B96" s="21">
        <x:f t="shared" si="19"/>
        <x:v>308</x:v>
      </x:c>
      <x:c r="C96" s="21">
        <x:f t="shared" si="0"/>
        <x:v>308</x:v>
      </x:c>
      <x:c r="D96" s="21">
        <x:f t="shared" si="20"/>
        <x:v>128</x:v>
      </x:c>
      <x:c r="E96" s="22" t="n">
        <x:f t="shared" ref="E96:H96" si="121">A96*PI()/180</x:f>
        <x:v>2.234021442552742</x:v>
      </x:c>
      <x:c r="F96" s="22">
        <x:f t="shared" si="121"/>
        <x:v>5.3756140961425354</x:v>
      </x:c>
      <x:c r="G96" s="22">
        <x:f t="shared" si="121"/>
        <x:v>5.3756140961425354</x:v>
      </x:c>
      <x:c r="H96" s="22">
        <x:f t="shared" si="121"/>
        <x:v>2.2340214425527418</x:v>
      </x:c>
      <x:c r="I96" s="23"/>
      <x:c r="J96" s="23"/>
      <x:c r="K96" s="23"/>
      <x:c r="L96" s="249" t="n">
        <x:f t="shared" ref="L96:L127" si="122">Mrot*Omega^2*$C$6*SIN(E96)</x:f>
        <x:v>1077.6359033963438</x:v>
      </x:c>
      <x:c r="M96" s="249" t="n">
        <x:f t="shared" ref="M96:M127" si="123">Mrot*Omega^2*$C$6*SIN(F96)</x:f>
        <x:v>-1077.6359033963433</x:v>
      </x:c>
      <x:c r="N96" s="249" t="n">
        <x:f t="shared" ref="N96:N127" si="124">Mrot*Omega^2*$C$6*SIN(G96)</x:f>
        <x:v>-1077.6359033963433</x:v>
      </x:c>
      <x:c r="O96" s="249" t="n">
        <x:f t="shared" ref="O96:O127" si="125">Mrot*Omega^2*$C$6*SIN(H96)</x:f>
        <x:v>1077.6359033963438</x:v>
      </x:c>
      <x:c r="P96" s="249" t="n">
        <x:f t="shared" ref="P96:P127" si="126">(Mrot+Malt)*(Omega^2)*$C$6*COS(E96)+Malt*(Omega^2)*$C$6*lambda*COS(2*E96)</x:f>
        <x:v>-2486.7066170468497</x:v>
      </x:c>
      <x:c r="Q96" s="249" t="n">
        <x:f t="shared" ref="Q96:Q127" si="127">(Mrot+Malt)*Omega^2*$C$6*COS(F96)+Malt*Omega^2*$C$6*lambda*COS(2*F96)</x:f>
        <x:v>2124.0599226447944</x:v>
      </x:c>
      <x:c r="R96" s="249" t="n">
        <x:f t="shared" ref="R96:R127" si="128">(Mrot+Malt)*Omega^2*$C$6*COS(G96)+Malt*Omega^2*$C$6*lambda*COS(2*G96)</x:f>
        <x:v>2124.0599226447944</x:v>
      </x:c>
      <x:c r="S96" s="249" t="n">
        <x:f t="shared" ref="S96:S127" si="129">(Mrot+Malt)*Omega^2*$C$6*COS(H96)+Malt*Omega^2*$C$6*lambda*COS(2*H96)</x:f>
        <x:v>-2486.7066170468497</x:v>
      </x:c>
      <x:c r="T96" s="23"/>
      <x:c r="U96" s="23"/>
      <x:c r="V96" s="260">
        <x:f t="shared" si="22"/>
        <x:v>-1885.0239404983995</x:v>
      </x:c>
      <x:c r="W96" s="260">
        <x:f t="shared" si="23"/>
        <x:v>-2374.7688947105994</x:v>
      </x:c>
      <x:c r="X96" s="260">
        <x:f t="shared" si="24"/>
        <x:v>1549.9820820074656</x:v>
      </x:c>
      <x:c r="Y96" s="260">
        <x:f t="shared" si="25"/>
        <x:v>2709.8107532015338</x:v>
      </x:c>
      <x:c r="Z96" s="260">
        <x:f t="shared" si="26"/>
        <x:v>-1947.2271781436616</x:v>
      </x:c>
      <x:c r="AA96" s="260">
        <x:f t="shared" si="27"/>
        <x:v>-182.76321290035469</x:v>
      </x:c>
      <x:c r="AB96" s="260">
        <x:f t="shared" si="28"/>
        <x:v>1808.4482963940291</x:v>
      </x:c>
      <x:c r="AC96" s="260">
        <x:f t="shared" si="29"/>
        <x:v>43.984331150722824</x:v>
      </x:c>
      <x:c r="AD96" s="260"/>
      <x:c r="AE96" s="282">
        <x:f t="shared" si="39"/>
        <x:v>0</x:v>
      </x:c>
      <x:c r="AF96" s="282">
        <x:f t="shared" si="10"/>
        <x:v>-277.5577634992643</x:v>
      </x:c>
      <x:c r="AJ96" s="272" t="n">
        <x:f t="shared" ref="AJ96:AJ127" si="130">-Z96*O_O1</x:f>
        <x:v>389.44543562873235</x:v>
      </x:c>
      <x:c r="AK96" s="272" t="n">
        <x:f t="shared" ref="AK96:AK127" si="131">-AA96*O_O2</x:f>
        <x:v>18.27632129003547</x:v>
      </x:c>
      <x:c r="AL96" s="272" t="n">
        <x:f t="shared" ref="AL96:AL127" si="132">AB96*O_O3</x:f>
        <x:v>180.84482963940292</x:v>
      </x:c>
      <x:c r="AM96" s="272" t="n">
        <x:f t="shared" ref="AM96:AM127" si="133">AC96*O_O4</x:f>
        <x:v>8.796866230144564</x:v>
      </x:c>
      <x:c r="AN96" s="272" t="n">
        <x:f t="shared" ref="AN96:AN127" si="134">V96*O_O1</x:f>
        <x:v>-377.0047880996799</x:v>
      </x:c>
      <x:c r="AO96" s="272" t="n">
        <x:f t="shared" ref="AO96:AO127" si="135">W96*O_O2</x:f>
        <x:v>-237.47688947105996</x:v>
      </x:c>
      <x:c r="AP96" s="272" t="n">
        <x:f t="shared" ref="AP96:AP127" si="136">-X96*O_O3</x:f>
        <x:v>-154.99820820074657</x:v>
      </x:c>
      <x:c r="AQ96" s="272" t="n">
        <x:f t="shared" ref="AQ96:AQ127" si="137">-Y96*O_O4</x:f>
        <x:v>-541.9621506403067</x:v>
      </x:c>
      <x:c r="AR96" s="272"/>
      <x:c r="AS96" s="286">
        <x:f t="shared" si="32"/>
        <x:v>597.36345278831527</x:v>
      </x:c>
      <x:c r="AT96" s="286">
        <x:f t="shared" si="33"/>
        <x:v>-1311.4420364117932</x:v>
      </x:c>
      <x:c r="AY96" s="279" t="n">
        <x:f t="shared" ref="AY96:AY127" si="138">m1_*R_den*wm^2*SIN(RADIANS(Vdeg/2+r_*A96+phy_deg))</x:f>
        <x:v>529.9376026059613</x:v>
      </x:c>
      <x:c r="AZ96" s="279" t="n">
        <x:f t="shared" ref="AZ96:AZ127" si="139">m2_*R_den*wm^2*SIN(RADIANS(-(Vdeg/2+r_*A96+phy_deg)))</x:f>
        <x:v>-529.9376026059613</x:v>
      </x:c>
      <x:c r="BA96" s="279" t="n">
        <x:f t="shared" ref="BA96:BA127" si="140">m1_*R_den*wm^2*COS(RADIANS(Vdeg/2+r_*A96+phy_deg))</x:f>
        <x:v>156.97466937973786</x:v>
      </x:c>
      <x:c r="BB96" s="279" t="n">
        <x:f t="shared" ref="BB96:BB127" si="141">m2_*R_den*wm^2*COS(RADIANS(-(Vdeg/2+r_*A96+phy_deg)))</x:f>
        <x:v>156.97466937973786</x:v>
      </x:c>
      <x:c r="BC96" s="279"/>
      <x:c r="BD96" s="289">
        <x:f t="shared" si="36"/>
        <x:v>0</x:v>
      </x:c>
      <x:c r="BE96" s="289">
        <x:f t="shared" si="37"/>
        <x:v>313.94933875947572</x:v>
      </x:c>
    </x:row>
    <x:row r="97" ht="15.75" customHeight="1">
      <x:c r="A97" s="21">
        <x:v>130</x:v>
      </x:c>
      <x:c r="B97" s="21">
        <x:f t="shared" si="19"/>
        <x:v>310</x:v>
      </x:c>
      <x:c r="C97" s="21">
        <x:f t="shared" si="0"/>
        <x:v>310</x:v>
      </x:c>
      <x:c r="D97" s="21">
        <x:f t="shared" si="20"/>
        <x:v>130</x:v>
      </x:c>
      <x:c r="E97" s="22" t="n">
        <x:f t="shared" ref="E97:H97" si="142">A97*PI()/180</x:f>
        <x:v>2.2689280275926285</x:v>
      </x:c>
      <x:c r="F97" s="22">
        <x:f t="shared" si="142"/>
        <x:v>5.4105206811824216</x:v>
      </x:c>
      <x:c r="G97" s="22">
        <x:f t="shared" si="142"/>
        <x:v>5.4105206811824216</x:v>
      </x:c>
      <x:c r="H97" s="22">
        <x:f t="shared" si="142"/>
        <x:v>2.2689280275926285</x:v>
      </x:c>
      <x:c r="I97" s="23"/>
      <x:c r="J97" s="23"/>
      <x:c r="K97" s="23"/>
      <x:c r="L97" s="249">
        <x:f t="shared" si="122"/>
        <x:v>1047.5961041443672</x:v>
      </x:c>
      <x:c r="M97" s="249">
        <x:f t="shared" si="123"/>
        <x:v>-1047.5961041443675</x:v>
      </x:c>
      <x:c r="N97" s="249">
        <x:f t="shared" si="124"/>
        <x:v>-1047.5961041443675</x:v>
      </x:c>
      <x:c r="O97" s="249">
        <x:f t="shared" si="125"/>
        <x:v>1047.5961041443672</x:v>
      </x:c>
      <x:c r="P97" s="249">
        <x:f t="shared" si="126"/>
        <x:v>-2537.1101738342841</x:v>
      </x:c>
      <x:c r="Q97" s="249">
        <x:f t="shared" si="127"/>
        <x:v>2276.8074118054142</x:v>
      </x:c>
      <x:c r="R97" s="249">
        <x:f t="shared" si="128"/>
        <x:v>2276.8074118054142</x:v>
      </x:c>
      <x:c r="S97" s="249">
        <x:f t="shared" si="129"/>
        <x:v>-2537.1101738342841</x:v>
      </x:c>
      <x:c r="T97" s="23"/>
      <x:c r="U97" s="23"/>
      <x:c r="V97" s="260" t="n">
        <x:f t="shared" ref="V97:V160" si="143">L97*COS(RADIANS(67.5))+P97*COS(RADIANS(22.5))</x:f>
        <x:v>-1943.0864884653854</x:v>
      </x:c>
      <x:c r="W97" s="260" t="n">
        <x:f t="shared" ref="W97:W160" si="144">M97*COS(RADIANS(67.5))-Q97*COS(RADIANS(22.5))</x:f>
        <x:v>-2504.3934401032816</x:v>
      </x:c>
      <x:c r="X97" s="260" t="n">
        <x:f t="shared" ref="X97:X160" si="145">N97*COS(RADIANS(67.5))+R97*COS(RADIANS(22.5))</x:f>
        <x:v>1702.5980943707561</x:v>
      </x:c>
      <x:c r="Y97" s="260" t="n">
        <x:f t="shared" ref="Y97:Y160" si="146">O97*COS(RADIANS(67.5))-S97*COS(RADIANS(22.5))</x:f>
        <x:v>2744.8818341979104</x:v>
      </x:c>
      <x:c r="Z97" s="260" t="n">
        <x:f t="shared" ref="Z97:Z160" si="147">-L97*COS(RADIANS(22.5))+P97*COS(RADIANS(67.5))</x:f>
        <x:v>-1938.7626285688368</x:v>
      </x:c>
      <x:c r="AA97" s="260" t="n">
        <x:f t="shared" ref="AA97:AA160" si="148">M97*COS(RADIANS(22.5))+Q97*COS(RADIANS(67.5))</x:f>
        <x:v>-96.55612377357102</x:v>
      </x:c>
      <x:c r="AB97" s="260" t="n">
        <x:f t="shared" ref="AB97:AB160" si="149">-N97*COS(RADIANS(22.5))+R97*COS(RADIANS(67.5))</x:f>
        <x:v>1839.149074141516</x:v>
      </x:c>
      <x:c r="AC97" s="260" t="n">
        <x:f t="shared" ref="AC97:AC160" si="150">O97*COS(RADIANS(22.5))+S97*COS(RADIANS(67.5))</x:f>
        <x:v>-3.057430653750316</x:v>
      </x:c>
      <x:c r="AD97" s="260"/>
      <x:c r="AE97" s="282">
        <x:f t="shared" si="39"/>
        <x:v>0</x:v>
      </x:c>
      <x:c r="AF97" s="282">
        <x:f t="shared" si="10"/>
        <x:v>-199.22710885464221</x:v>
      </x:c>
      <x:c r="AJ97" s="272">
        <x:f t="shared" si="130"/>
        <x:v>387.7525257137674</x:v>
      </x:c>
      <x:c r="AK97" s="272">
        <x:f t="shared" si="131"/>
        <x:v>9.6556123773571016</x:v>
      </x:c>
      <x:c r="AL97" s="272">
        <x:f t="shared" si="132"/>
        <x:v>183.9149074141516</x:v>
      </x:c>
      <x:c r="AM97" s="272">
        <x:f t="shared" si="133"/>
        <x:v>-0.61148613075006331</x:v>
      </x:c>
      <x:c r="AN97" s="272">
        <x:f t="shared" si="134"/>
        <x:v>-388.61729769307709</x:v>
      </x:c>
      <x:c r="AO97" s="272">
        <x:f t="shared" si="135"/>
        <x:v>-250.43934401032817</x:v>
      </x:c>
      <x:c r="AP97" s="272">
        <x:f t="shared" si="136"/>
        <x:v>-170.25980943707563</x:v>
      </x:c>
      <x:c r="AQ97" s="272">
        <x:f t="shared" si="137"/>
        <x:v>-548.97636683958206</x:v>
      </x:c>
      <x:c r="AR97" s="272"/>
      <x:c r="AS97" s="286">
        <x:f t="shared" si="32"/>
        <x:v>580.71155937452602</x:v>
      </x:c>
      <x:c r="AT97" s="286">
        <x:f t="shared" si="33"/>
        <x:v>-1358.2928179800629</x:v>
      </x:c>
      <x:c r="AY97" s="279">
        <x:f t="shared" si="138"/>
        <x:v>539.59670064366435</x:v>
      </x:c>
      <x:c r="AZ97" s="279">
        <x:f t="shared" si="139"/>
        <x:v>-539.59670064366435</x:v>
      </x:c>
      <x:c r="BA97" s="279">
        <x:f t="shared" si="140"/>
        <x:v>119.62570851244062</x:v>
      </x:c>
      <x:c r="BB97" s="279">
        <x:f t="shared" si="141"/>
        <x:v>119.62570851244062</x:v>
      </x:c>
      <x:c r="BC97" s="279"/>
      <x:c r="BD97" s="289" t="n">
        <x:f t="shared" ref="BD97:BD160" si="151">AY97+AZ97</x:f>
        <x:v>0</x:v>
      </x:c>
      <x:c r="BE97" s="289" t="n">
        <x:f t="shared" ref="BE97:BE160" si="152">BA97+BB97</x:f>
        <x:v>239.25141702488125</x:v>
      </x:c>
    </x:row>
    <x:row r="98" ht="15.75" customHeight="1">
      <x:c r="A98" s="21">
        <x:v>132</x:v>
      </x:c>
      <x:c r="B98" s="21">
        <x:f t="shared" si="19"/>
        <x:v>312</x:v>
      </x:c>
      <x:c r="C98" s="21">
        <x:f t="shared" si="0"/>
        <x:v>312</x:v>
      </x:c>
      <x:c r="D98" s="21">
        <x:f t="shared" si="20"/>
        <x:v>132</x:v>
      </x:c>
      <x:c r="E98" s="22" t="n">
        <x:f t="shared" ref="E98:H98" si="153">A98*PI()/180</x:f>
        <x:v>2.303834612632515</x:v>
      </x:c>
      <x:c r="F98" s="22">
        <x:f t="shared" si="153"/>
        <x:v>5.4454272662223078</x:v>
      </x:c>
      <x:c r="G98" s="22">
        <x:f t="shared" si="153"/>
        <x:v>5.4454272662223078</x:v>
      </x:c>
      <x:c r="H98" s="22">
        <x:f t="shared" si="153"/>
        <x:v>2.3038346126325151</x:v>
      </x:c>
      <x:c r="I98" s="23"/>
      <x:c r="J98" s="23"/>
      <x:c r="K98" s="23"/>
      <x:c r="L98" s="249">
        <x:f t="shared" si="122"/>
        <x:v>1016.2799704093004</x:v>
      </x:c>
      <x:c r="M98" s="249">
        <x:f t="shared" si="123"/>
        <x:v>-1016.2799704093009</x:v>
      </x:c>
      <x:c r="N98" s="249">
        <x:f t="shared" si="124"/>
        <x:v>-1016.2799704093009</x:v>
      </x:c>
      <x:c r="O98" s="249">
        <x:f t="shared" si="125"/>
        <x:v>1016.2799704093004</x:v>
      </x:c>
      <x:c r="P98" s="249">
        <x:f t="shared" si="126"/>
        <x:v>-2583.9471376507149</x:v>
      </x:c>
      <x:c r="Q98" s="249">
        <x:f t="shared" si="127"/>
        <x:v>2427.2564768860925</x:v>
      </x:c>
      <x:c r="R98" s="249">
        <x:f t="shared" si="128"/>
        <x:v>2427.2564768860925</x:v>
      </x:c>
      <x:c r="S98" s="249">
        <x:f t="shared" si="129"/>
        <x:v>-2583.9471376507149</x:v>
      </x:c>
      <x:c r="T98" s="23"/>
      <x:c r="U98" s="23"/>
      <x:c r="V98" s="260">
        <x:f t="shared" si="143"/>
        <x:v>-1998.3423662464968</x:v>
      </x:c>
      <x:c r="W98" s="260">
        <x:f t="shared" si="144"/>
        <x:v>-2631.4060864706394</x:v>
      </x:c>
      <x:c r="X98" s="260">
        <x:f t="shared" si="145"/>
        <x:v>1853.5790718303929</x:v>
      </x:c>
      <x:c r="Y98" s="260">
        <x:f t="shared" si="146"/>
        <x:v>2776.1693808867431</x:v>
      </x:c>
      <x:c r="Z98" s="260">
        <x:f t="shared" si="147"/>
        <x:v>-1927.7540236484538</x:v>
      </x:c>
      <x:c r="AA98" s="260">
        <x:f t="shared" si="148"/>
        <x:v>-10.049424157163912</x:v>
      </x:c>
      <x:c r="AB98" s="260">
        <x:f t="shared" si="149"/>
        <x:v>1867.7911037674944</x:v>
      </x:c>
      <x:c r="AC98" s="260">
        <x:f t="shared" si="150"/>
        <x:v>-49.913495723796018</x:v>
      </x:c>
      <x:c r="AD98" s="260"/>
      <x:c r="AE98" s="282">
        <x:f t="shared" si="39"/>
        <x:v>0</x:v>
      </x:c>
      <x:c r="AF98" s="282">
        <x:f t="shared" si="10"/>
        <x:v>-119.92583976191929</x:v>
      </x:c>
      <x:c r="AJ98" s="272">
        <x:f t="shared" si="130"/>
        <x:v>385.55080472969075</x:v>
      </x:c>
      <x:c r="AK98" s="272">
        <x:f t="shared" si="131"/>
        <x:v>1.0049424157163913</x:v>
      </x:c>
      <x:c r="AL98" s="272">
        <x:f t="shared" si="132"/>
        <x:v>186.77911037674946</x:v>
      </x:c>
      <x:c r="AM98" s="272">
        <x:f t="shared" si="133"/>
        <x:v>-9.9826991447592039</x:v>
      </x:c>
      <x:c r="AN98" s="272">
        <x:f t="shared" si="134"/>
        <x:v>-399.66847324929938</x:v>
      </x:c>
      <x:c r="AO98" s="272">
        <x:f t="shared" si="135"/>
        <x:v>-263.14060864706397</x:v>
      </x:c>
      <x:c r="AP98" s="272">
        <x:f t="shared" si="136"/>
        <x:v>-185.35790718303929</x:v>
      </x:c>
      <x:c r="AQ98" s="272">
        <x:f t="shared" si="137"/>
        <x:v>-555.23387617734863</x:v>
      </x:c>
      <x:c r="AR98" s="272"/>
      <x:c r="AS98" s="286">
        <x:f t="shared" si="32"/>
        <x:v>563.35215837739747</x:v>
      </x:c>
      <x:c r="AT98" s="286">
        <x:f t="shared" si="33"/>
        <x:v>-1403.4008652567513</x:v>
      </x:c>
      <x:c r="AY98" s="279">
        <x:f t="shared" si="138"/>
        <x:v>546.62693779590211</x:v>
      </x:c>
      <x:c r="AZ98" s="279">
        <x:f t="shared" si="139"/>
        <x:v>-546.62693779590211</x:v>
      </x:c>
      <x:c r="BA98" s="279">
        <x:f t="shared" si="140"/>
        <x:v>81.693943218004947</x:v>
      </x:c>
      <x:c r="BB98" s="279">
        <x:f t="shared" si="141"/>
        <x:v>81.693943218004947</x:v>
      </x:c>
      <x:c r="BC98" s="279"/>
      <x:c r="BD98" s="289">
        <x:f t="shared" si="151"/>
        <x:v>0</x:v>
      </x:c>
      <x:c r="BE98" s="289">
        <x:f t="shared" si="152"/>
        <x:v>163.38788643600989</x:v>
      </x:c>
    </x:row>
    <x:row r="99" ht="15.75" customHeight="1">
      <x:c r="A99" s="21">
        <x:v>134</x:v>
      </x:c>
      <x:c r="B99" s="21">
        <x:f t="shared" si="19"/>
        <x:v>314</x:v>
      </x:c>
      <x:c r="C99" s="21">
        <x:f t="shared" si="0"/>
        <x:v>314</x:v>
      </x:c>
      <x:c r="D99" s="21">
        <x:f t="shared" si="20"/>
        <x:v>134</x:v>
      </x:c>
      <x:c r="E99" s="22" t="n">
        <x:f t="shared" ref="E99:H99" si="154">A99*PI()/180</x:f>
        <x:v>2.3387411976724013</x:v>
      </x:c>
      <x:c r="F99" s="22">
        <x:f t="shared" si="154"/>
        <x:v>5.480333851262194</x:v>
      </x:c>
      <x:c r="G99" s="22">
        <x:f t="shared" si="154"/>
        <x:v>5.480333851262194</x:v>
      </x:c>
      <x:c r="H99" s="22">
        <x:f t="shared" si="154"/>
        <x:v>2.3387411976724013</x:v>
      </x:c>
      <x:c r="I99" s="23"/>
      <x:c r="J99" s="23"/>
      <x:c r="K99" s="23"/>
      <x:c r="L99" s="249">
        <x:f t="shared" si="122"/>
        <x:v>983.72565607621868</x:v>
      </x:c>
      <x:c r="M99" s="249">
        <x:f t="shared" si="123"/>
        <x:v>-983.72565607621914</x:v>
      </x:c>
      <x:c r="N99" s="249">
        <x:f t="shared" si="124"/>
        <x:v>-983.72565607621914</x:v>
      </x:c>
      <x:c r="O99" s="249">
        <x:f t="shared" si="125"/>
        <x:v>983.72565607621868</x:v>
      </x:c>
      <x:c r="P99" s="249">
        <x:f t="shared" si="126"/>
        <x:v>-2627.3497210489822</x:v>
      </x:c>
      <x:c r="Q99" s="249">
        <x:f t="shared" si="127"/>
        <x:v>2575.0345426973636</x:v>
      </x:c>
      <x:c r="R99" s="249">
        <x:f t="shared" si="128"/>
        <x:v>2575.0345426973636</x:v>
      </x:c>
      <x:c r="S99" s="249">
        <x:f t="shared" si="129"/>
        <x:v>-2627.3497210489822</x:v>
      </x:c>
      <x:c r="T99" s="23"/>
      <x:c r="U99" s="23"/>
      <x:c r="V99" s="260">
        <x:f t="shared" si="143"/>
        <x:v>-2050.8991214535458</x:v>
      </x:c>
      <x:c r="W99" s="260">
        <x:f t="shared" si="144"/>
        <x:v>-2755.4772200805028</x:v>
      </x:c>
      <x:c r="X99" s="260">
        <x:f t="shared" si="145"/>
        <x:v>2002.566198934808</x:v>
      </x:c>
      <x:c r="Y99" s="260">
        <x:f t="shared" si="146"/>
        <x:v>2803.8101425992404</x:v>
      </x:c>
      <x:c r="Z99" s="260">
        <x:f t="shared" si="147"/>
        <x:v>-1914.2872085295417</x:v>
      </x:c>
      <x:c r="AA99" s="260">
        <x:f t="shared" si="148"/>
        <x:v>76.579058003040473</x:v>
      </x:c>
      <x:c r="AB99" s="260">
        <x:f t="shared" si="149"/>
        <x:v>1894.2670565131527</x:v>
      </x:c>
      <x:c r="AC99" s="260">
        <x:f t="shared" si="150"/>
        <x:v>-96.599210019430075</x:v>
      </x:c>
      <x:c r="AD99" s="260"/>
      <x:c r="AE99" s="282">
        <x:f t="shared" si="39"/>
        <x:v>0</x:v>
      </x:c>
      <x:c r="AF99" s="282">
        <x:f t="shared" si="10"/>
        <x:v>-40.040304032778522</x:v>
      </x:c>
      <x:c r="AJ99" s="272">
        <x:f t="shared" si="130"/>
        <x:v>382.85744170590834</x:v>
      </x:c>
      <x:c r="AK99" s="272">
        <x:f t="shared" si="131"/>
        <x:v>-7.6579058003040474</x:v>
      </x:c>
      <x:c r="AL99" s="272">
        <x:f t="shared" si="132"/>
        <x:v>189.42670565131527</x:v>
      </x:c>
      <x:c r="AM99" s="272">
        <x:f t="shared" si="133"/>
        <x:v>-19.319842003886016</x:v>
      </x:c>
      <x:c r="AN99" s="272">
        <x:f t="shared" si="134"/>
        <x:v>-410.17982429070918</x:v>
      </x:c>
      <x:c r="AO99" s="272">
        <x:f t="shared" si="135"/>
        <x:v>-275.5477220080503</x:v>
      </x:c>
      <x:c r="AP99" s="272">
        <x:f t="shared" si="136"/>
        <x:v>-200.2566198934808</x:v>
      </x:c>
      <x:c r="AQ99" s="272">
        <x:f t="shared" si="137"/>
        <x:v>-560.76202851984806</x:v>
      </x:c>
      <x:c r="AR99" s="272"/>
      <x:c r="AS99" s="286">
        <x:f t="shared" si="32"/>
        <x:v>545.30639955303354</x:v>
      </x:c>
      <x:c r="AT99" s="286">
        <x:f t="shared" si="33"/>
        <x:v>-1446.7461947120883</x:v>
      </x:c>
      <x:c r="AY99" s="279">
        <x:f t="shared" si="138"/>
        <x:v>550.99406345394596</x:v>
      </x:c>
      <x:c r="AZ99" s="279">
        <x:f t="shared" si="139"/>
        <x:v>-550.99406345394596</x:v>
      </x:c>
      <x:c r="BA99" s="279">
        <x:f t="shared" si="140"/>
        <x:v>43.364173244057596</x:v>
      </x:c>
      <x:c r="BB99" s="279">
        <x:f t="shared" si="141"/>
        <x:v>43.364173244057596</x:v>
      </x:c>
      <x:c r="BC99" s="279"/>
      <x:c r="BD99" s="289">
        <x:f t="shared" si="151"/>
        <x:v>0</x:v>
      </x:c>
      <x:c r="BE99" s="289">
        <x:f t="shared" si="152"/>
        <x:v>86.728346488115193</x:v>
      </x:c>
    </x:row>
    <x:row r="100" ht="15.75" customHeight="1">
      <x:c r="A100" s="21">
        <x:v>136</x:v>
      </x:c>
      <x:c r="B100" s="21">
        <x:f t="shared" si="19"/>
        <x:v>316</x:v>
      </x:c>
      <x:c r="C100" s="21">
        <x:f t="shared" si="0"/>
        <x:v>316</x:v>
      </x:c>
      <x:c r="D100" s="21">
        <x:f t="shared" si="20"/>
        <x:v>136</x:v>
      </x:c>
      <x:c r="E100" s="22" t="n">
        <x:f t="shared" ref="E100:H100" si="155">A100*PI()/180</x:f>
        <x:v>2.3736477827122884</x:v>
      </x:c>
      <x:c r="F100" s="22">
        <x:f t="shared" si="155"/>
        <x:v>5.5152404363020811</x:v>
      </x:c>
      <x:c r="G100" s="22">
        <x:f t="shared" si="155"/>
        <x:v>5.5152404363020811</x:v>
      </x:c>
      <x:c r="H100" s="22">
        <x:f t="shared" si="155"/>
        <x:v>2.3736477827122884</x:v>
      </x:c>
      <x:c r="I100" s="23"/>
      <x:c r="J100" s="23"/>
      <x:c r="K100" s="23"/>
      <x:c r="L100" s="249">
        <x:f t="shared" si="122"/>
        <x:v>949.97282356252822</x:v>
      </x:c>
      <x:c r="M100" s="249">
        <x:f t="shared" si="123"/>
        <x:v>-949.97282356252879</x:v>
      </x:c>
      <x:c r="N100" s="249">
        <x:f t="shared" si="124"/>
        <x:v>-949.97282356252879</x:v>
      </x:c>
      <x:c r="O100" s="249">
        <x:f t="shared" si="125"/>
        <x:v>949.97282356252822</x:v>
      </x:c>
      <x:c r="P100" s="249">
        <x:f t="shared" si="126"/>
        <x:v>-2667.4557153723817</x:v>
      </x:c>
      <x:c r="Q100" s="249">
        <x:f t="shared" si="127"/>
        <x:v>2719.7708937239954</x:v>
      </x:c>
      <x:c r="R100" s="249">
        <x:f t="shared" si="128"/>
        <x:v>2719.7708937239954</x:v>
      </x:c>
      <x:c r="S100" s="249">
        <x:f t="shared" si="129"/>
        <x:v>-2667.4557153723817</x:v>
      </x:c>
      <x:c r="T100" s="23"/>
      <x:c r="U100" s="23"/>
      <x:c r="V100" s="260">
        <x:f t="shared" si="143"/>
        <x:v>-2100.868878538332</x:v>
      </x:c>
      <x:c r="W100" s="260">
        <x:f t="shared" si="144"/>
        <x:v>-2876.2795226059939</x:v>
      </x:c>
      <x:c r="X100" s="260">
        <x:f t="shared" si="145"/>
        <x:v>2149.201801057065</x:v>
      </x:c>
      <x:c r="Y100" s="260">
        <x:f t="shared" si="146"/>
        <x:v>2827.9466000872599</x:v>
      </x:c>
      <x:c r="Z100" s="260">
        <x:f t="shared" si="147"/>
        <x:v>-1898.4515569719549</x:v>
      </x:c>
      <x:c r="AA100" s="260">
        <x:f t="shared" si="148"/>
        <x:v>163.15081272559041</x:v>
      </x:c>
      <x:c r="AB100" s="260">
        <x:f t="shared" si="149"/>
        <x:v>1918.4717089883427</x:v>
      </x:c>
      <x:c r="AC100" s="260">
        <x:f t="shared" si="150"/>
        <x:v>-143.13066070920354</x:v>
      </x:c>
      <x:c r="AD100" s="260"/>
      <x:c r="AE100" s="282">
        <x:f t="shared" si="39"/>
        <x:v>0</x:v>
      </x:c>
      <x:c r="AF100" s="282">
        <x:f t="shared" si="10"/>
        <x:v>40.040304032774657</x:v>
      </x:c>
      <x:c r="AJ100" s="272">
        <x:f t="shared" si="130"/>
        <x:v>379.69031139439102</x:v>
      </x:c>
      <x:c r="AK100" s="272">
        <x:f t="shared" si="131"/>
        <x:v>-16.315081272559041</x:v>
      </x:c>
      <x:c r="AL100" s="272">
        <x:f t="shared" si="132"/>
        <x:v>191.84717089883429</x:v>
      </x:c>
      <x:c r="AM100" s="272">
        <x:f t="shared" si="133"/>
        <x:v>-28.62613214184071</x:v>
      </x:c>
      <x:c r="AN100" s="272">
        <x:f t="shared" si="134"/>
        <x:v>-420.17377570766644</x:v>
      </x:c>
      <x:c r="AO100" s="272">
        <x:f t="shared" si="135"/>
        <x:v>-287.62795226059939</x:v>
      </x:c>
      <x:c r="AP100" s="272">
        <x:f t="shared" si="136"/>
        <x:v>-214.92018010570652</x:v>
      </x:c>
      <x:c r="AQ100" s="272">
        <x:f t="shared" si="137"/>
        <x:v>-565.589320017452</x:v>
      </x:c>
      <x:c r="AR100" s="272"/>
      <x:c r="AS100" s="286">
        <x:f t="shared" si="32"/>
        <x:v>526.59626887882553</x:v>
      </x:c>
      <x:c r="AT100" s="286">
        <x:f t="shared" si="33"/>
        <x:v>-1488.3112280914243</x:v>
      </x:c>
      <x:c r="AY100" s="279">
        <x:f t="shared" si="138"/>
        <x:v>552.67680142057179</x:v>
      </x:c>
      <x:c r="AZ100" s="279">
        <x:f t="shared" si="139"/>
        <x:v>-552.67680142057179</x:v>
      </x:c>
      <x:c r="BA100" s="279">
        <x:f t="shared" si="140"/>
        <x:v>4.823137377016649</x:v>
      </x:c>
      <x:c r="BB100" s="279">
        <x:f t="shared" si="141"/>
        <x:v>4.823137377016649</x:v>
      </x:c>
      <x:c r="BC100" s="279"/>
      <x:c r="BD100" s="289">
        <x:f t="shared" si="151"/>
        <x:v>0</x:v>
      </x:c>
      <x:c r="BE100" s="289">
        <x:f t="shared" si="152"/>
        <x:v>9.646274754033298</x:v>
      </x:c>
    </x:row>
    <x:row r="101" ht="15.75" customHeight="1">
      <x:c r="A101" s="21">
        <x:v>138</x:v>
      </x:c>
      <x:c r="B101" s="21">
        <x:f t="shared" si="19"/>
        <x:v>318</x:v>
      </x:c>
      <x:c r="C101" s="21">
        <x:f t="shared" si="0"/>
        <x:v>318</x:v>
      </x:c>
      <x:c r="D101" s="21">
        <x:f t="shared" si="20"/>
        <x:v>138</x:v>
      </x:c>
      <x:c r="E101" s="22" t="n">
        <x:f t="shared" ref="E101:H101" si="156">A101*PI()/180</x:f>
        <x:v>2.4085543677521746</x:v>
      </x:c>
      <x:c r="F101" s="22">
        <x:f t="shared" si="156"/>
        <x:v>5.5501470213419681</x:v>
      </x:c>
      <x:c r="G101" s="22">
        <x:f t="shared" si="156"/>
        <x:v>5.5501470213419681</x:v>
      </x:c>
      <x:c r="H101" s="22">
        <x:f t="shared" si="156"/>
        <x:v>2.4085543677521746</x:v>
      </x:c>
      <x:c r="I101" s="23"/>
      <x:c r="J101" s="23"/>
      <x:c r="K101" s="23"/>
      <x:c r="L101" s="249">
        <x:f t="shared" si="122"/>
        <x:v>915.06259549542335</x:v>
      </x:c>
      <x:c r="M101" s="249">
        <x:f t="shared" si="123"/>
        <x:v>-915.06259549542301</x:v>
      </x:c>
      <x:c r="N101" s="249">
        <x:f t="shared" si="124"/>
        <x:v>-915.06259549542301</x:v>
      </x:c>
      <x:c r="O101" s="249">
        <x:f t="shared" si="125"/>
        <x:v>915.06259549542335</x:v>
      </x:c>
      <x:c r="P101" s="249">
        <x:f t="shared" si="126"/>
        <x:v>-2704.4073939486234</x:v>
      </x:c>
      <x:c r="Q101" s="249">
        <x:f t="shared" si="127"/>
        <x:v>2861.0980547132435</x:v>
      </x:c>
      <x:c r="R101" s="249">
        <x:f t="shared" si="128"/>
        <x:v>2861.0980547132435</x:v>
      </x:c>
      <x:c r="S101" s="249">
        <x:f t="shared" si="129"/>
        <x:v>-2704.4073939486234</x:v>
      </x:c>
      <x:c r="T101" s="23"/>
      <x:c r="U101" s="23"/>
      <x:c r="V101" s="260">
        <x:f t="shared" si="143"/>
        <x:v>-2148.3673439682252</x:v>
      </x:c>
      <x:c r="W101" s="260">
        <x:f t="shared" si="144"/>
        <x:v>-2993.4892281305197</x:v>
      </x:c>
      <x:c r="X101" s="260">
        <x:f t="shared" si="145"/>
        <x:v>2293.1306383843271</x:v>
      </x:c>
      <x:c r="Y101" s="260">
        <x:f t="shared" si="146"/>
        <x:v>2848.7259337144178</x:v>
      </x:c>
      <x:c r="Z101" s="260">
        <x:f t="shared" si="147"/>
        <x:v>-1880.3395069746634</x:v>
      </x:c>
      <x:c r="AA101" s="260">
        <x:f t="shared" si="148"/>
        <x:v>249.48722096586948</x:v>
      </x:c>
      <x:c r="AB101" s="260">
        <x:f t="shared" si="149"/>
        <x:v>1940.3024268556217</x:v>
      </x:c>
      <x:c r="AC101" s="260">
        <x:f t="shared" si="150"/>
        <x:v>-189.52430108491046</x:v>
      </x:c>
      <x:c r="AD101" s="260"/>
      <x:c r="AE101" s="282">
        <x:f t="shared" si="39"/>
        <x:v>0</x:v>
      </x:c>
      <x:c r="AF101" s="282">
        <x:f t="shared" si="10"/>
        <x:v>119.92583976191725</x:v>
      </x:c>
      <x:c r="AJ101" s="272">
        <x:f t="shared" si="130"/>
        <x:v>376.06790139493273</x:v>
      </x:c>
      <x:c r="AK101" s="272">
        <x:f t="shared" si="131"/>
        <x:v>-24.948722096586948</x:v>
      </x:c>
      <x:c r="AL101" s="272">
        <x:f t="shared" si="132"/>
        <x:v>194.03024268556217</x:v>
      </x:c>
      <x:c r="AM101" s="272">
        <x:f t="shared" si="133"/>
        <x:v>-37.904860216982094</x:v>
      </x:c>
      <x:c r="AN101" s="272">
        <x:f t="shared" si="134"/>
        <x:v>-429.67346879364504</x:v>
      </x:c>
      <x:c r="AO101" s="272">
        <x:f t="shared" si="135"/>
        <x:v>-299.34892281305196</x:v>
      </x:c>
      <x:c r="AP101" s="272">
        <x:f t="shared" si="136"/>
        <x:v>-229.31306383843273</x:v>
      </x:c>
      <x:c r="AQ101" s="272">
        <x:f t="shared" si="137"/>
        <x:v>-569.74518674288356</x:v>
      </x:c>
      <x:c r="AR101" s="272"/>
      <x:c r="AS101" s="286">
        <x:f t="shared" si="32"/>
        <x:v>507.24456176692581</x:v>
      </x:c>
      <x:c r="AT101" s="286">
        <x:f t="shared" si="33"/>
        <x:v>-1528.0806421880134</x:v>
      </x:c>
      <x:c r="AY101" s="279">
        <x:f t="shared" si="138"/>
        <x:v>551.66695356555442</x:v>
      </x:c>
      <x:c r="AZ101" s="279">
        <x:f t="shared" si="139"/>
        <x:v>-551.66695356555442</x:v>
      </x:c>
      <x:c r="BA101" s="279">
        <x:f t="shared" si="140"/>
        <x:v>-33.741396330504557</x:v>
      </x:c>
      <x:c r="BB101" s="279">
        <x:f t="shared" si="141"/>
        <x:v>-33.741396330504557</x:v>
      </x:c>
      <x:c r="BC101" s="279"/>
      <x:c r="BD101" s="289">
        <x:f t="shared" si="151"/>
        <x:v>0</x:v>
      </x:c>
      <x:c r="BE101" s="289">
        <x:f t="shared" si="152"/>
        <x:v>-67.482792661009114</x:v>
      </x:c>
    </x:row>
    <x:row r="102" ht="15.75" customHeight="1">
      <x:c r="A102" s="21">
        <x:v>140</x:v>
      </x:c>
      <x:c r="B102" s="21">
        <x:f t="shared" si="19"/>
        <x:v>320</x:v>
      </x:c>
      <x:c r="C102" s="21">
        <x:f t="shared" si="0"/>
        <x:v>320</x:v>
      </x:c>
      <x:c r="D102" s="21">
        <x:f t="shared" si="20"/>
        <x:v>140</x:v>
      </x:c>
      <x:c r="E102" s="22" t="n">
        <x:f t="shared" ref="E102:H102" si="157">A102*PI()/180</x:f>
        <x:v>2.443460952792061</x:v>
      </x:c>
      <x:c r="F102" s="22">
        <x:f t="shared" si="157"/>
        <x:v>5.5850536063818543</x:v>
      </x:c>
      <x:c r="G102" s="22">
        <x:f t="shared" si="157"/>
        <x:v>5.5850536063818543</x:v>
      </x:c>
      <x:c r="H102" s="22">
        <x:f t="shared" si="157"/>
        <x:v>2.4434609527920612</x:v>
      </x:c>
      <x:c r="I102" s="23"/>
      <x:c r="J102" s="23"/>
      <x:c r="K102" s="23"/>
      <x:c r="L102" s="249">
        <x:f t="shared" si="122"/>
        <x:v>879.03750461029426</x:v>
      </x:c>
      <x:c r="M102" s="249">
        <x:f t="shared" si="123"/>
        <x:v>-879.03750461029438</x:v>
      </x:c>
      <x:c r="N102" s="249">
        <x:f t="shared" si="124"/>
        <x:v>-879.03750461029438</x:v>
      </x:c>
      <x:c r="O102" s="249">
        <x:f t="shared" si="125"/>
        <x:v>879.03750461029426</x:v>
      </x:c>
      <x:c r="P102" s="249">
        <x:f t="shared" si="126"/>
        <x:v>-2738.3504075548431</x:v>
      </x:c>
      <x:c r="Q102" s="249">
        <x:f t="shared" si="127"/>
        <x:v>2998.6531695837111</x:v>
      </x:c>
      <x:c r="R102" s="249">
        <x:f t="shared" si="128"/>
        <x:v>2998.6531695837111</x:v>
      </x:c>
      <x:c r="S102" s="249">
        <x:f t="shared" si="129"/>
        <x:v>-2738.3504075548431</x:v>
      </x:c>
      <x:c r="T102" s="23"/>
      <x:c r="U102" s="23"/>
      <x:c r="V102" s="260">
        <x:f t="shared" si="143"/>
        <x:v>-2193.5128049419491</x:v>
      </x:c>
      <x:c r="W102" s="260">
        <x:f t="shared" si="144"/>
        <x:v>-3106.7873779203983</x:v>
      </x:c>
      <x:c r="X102" s="260">
        <x:f t="shared" si="145"/>
        <x:v>2434.0011990365765</x:v>
      </x:c>
      <x:c r="Y102" s="260">
        <x:f t="shared" si="146"/>
        <x:v>2866.2989838257708</x:v>
      </x:c>
      <x:c r="Z102" s="260">
        <x:f t="shared" si="147"/>
        <x:v>-1860.0460918006765</x:v>
      </x:c>
      <x:c r="AA102" s="260">
        <x:f t="shared" si="148"/>
        <x:v>335.41012858950353</x:v>
      </x:c>
      <x:c r="AB102" s="260">
        <x:f t="shared" si="149"/>
        <x:v>1959.6596462279972</x:v>
      </x:c>
      <x:c r="AC102" s="260">
        <x:f t="shared" si="150"/>
        <x:v>-235.79657416218322</x:v>
      </x:c>
      <x:c r="AD102" s="260"/>
      <x:c r="AE102" s="282">
        <x:f t="shared" si="39"/>
        <x:v>0</x:v>
      </x:c>
      <x:c r="AF102" s="282">
        <x:f t="shared" si="10"/>
        <x:v>199.22710885464096</x:v>
      </x:c>
      <x:c r="AJ102" s="272">
        <x:f t="shared" si="130"/>
        <x:v>372.00921836013532</x:v>
      </x:c>
      <x:c r="AK102" s="272">
        <x:f t="shared" si="131"/>
        <x:v>-33.541012858950353</x:v>
      </x:c>
      <x:c r="AL102" s="272">
        <x:f t="shared" si="132"/>
        <x:v>195.96596462279973</x:v>
      </x:c>
      <x:c r="AM102" s="272">
        <x:f t="shared" si="133"/>
        <x:v>-47.15931483243665</x:v>
      </x:c>
      <x:c r="AN102" s="272">
        <x:f t="shared" si="134"/>
        <x:v>-438.70256098838985</x:v>
      </x:c>
      <x:c r="AO102" s="272">
        <x:f t="shared" si="135"/>
        <x:v>-310.67873779203984</x:v>
      </x:c>
      <x:c r="AP102" s="272">
        <x:f t="shared" si="136"/>
        <x:v>-243.40011990365767</x:v>
      </x:c>
      <x:c r="AQ102" s="272">
        <x:f t="shared" si="137"/>
        <x:v>-573.25979676515419</x:v>
      </x:c>
      <x:c r="AR102" s="272"/>
      <x:c r="AS102" s="286">
        <x:f t="shared" si="32"/>
        <x:v>487.27485529154808</x:v>
      </x:c>
      <x:c r="AT102" s="286">
        <x:f t="shared" si="33"/>
        <x:v>-1566.0412154492415</x:v>
      </x:c>
      <x:c r="AY102" s="279">
        <x:f t="shared" si="138"/>
        <x:v>547.96943976613386</x:v>
      </x:c>
      <x:c r="AZ102" s="279">
        <x:f t="shared" si="139"/>
        <x:v>-547.96943976613386</x:v>
      </x:c>
      <x:c r="BA102" s="279">
        <x:f t="shared" si="140"/>
        <x:v>-72.141545346777335</x:v>
      </x:c>
      <x:c r="BB102" s="279">
        <x:f t="shared" si="141"/>
        <x:v>-72.141545346777335</x:v>
      </x:c>
      <x:c r="BC102" s="279"/>
      <x:c r="BD102" s="289">
        <x:f t="shared" si="151"/>
        <x:v>0</x:v>
      </x:c>
      <x:c r="BE102" s="289">
        <x:f t="shared" si="152"/>
        <x:v>-144.28309069355467</x:v>
      </x:c>
    </x:row>
    <x:row r="103" ht="15.75" customHeight="1">
      <x:c r="A103" s="21">
        <x:v>142</x:v>
      </x:c>
      <x:c r="B103" s="21">
        <x:f t="shared" si="19"/>
        <x:v>322</x:v>
      </x:c>
      <x:c r="C103" s="21">
        <x:f t="shared" si="0"/>
        <x:v>322</x:v>
      </x:c>
      <x:c r="D103" s="21">
        <x:f t="shared" si="20"/>
        <x:v>142</x:v>
      </x:c>
      <x:c r="E103" s="22" t="n">
        <x:f t="shared" ref="E103:H103" si="158">A103*PI()/180</x:f>
        <x:v>2.478367537831948</x:v>
      </x:c>
      <x:c r="F103" s="22">
        <x:f t="shared" si="158"/>
        <x:v>5.6199601914217405</x:v>
      </x:c>
      <x:c r="G103" s="22">
        <x:f t="shared" si="158"/>
        <x:v>5.6199601914217405</x:v>
      </x:c>
      <x:c r="H103" s="22">
        <x:f t="shared" si="158"/>
        <x:v>2.4783675378319479</x:v>
      </x:c>
      <x:c r="I103" s="23"/>
      <x:c r="J103" s="23"/>
      <x:c r="K103" s="23"/>
      <x:c r="L103" s="249">
        <x:f t="shared" si="122"/>
        <x:v>841.94144193114494</x:v>
      </x:c>
      <x:c r="M103" s="249">
        <x:f t="shared" si="123"/>
        <x:v>-841.9414419311455</x:v>
      </x:c>
      <x:c r="N103" s="249">
        <x:f t="shared" si="124"/>
        <x:v>-841.9414419311455</x:v>
      </x:c>
      <x:c r="O103" s="249">
        <x:f t="shared" si="125"/>
        <x:v>841.94144193114494</x:v>
      </x:c>
      <x:c r="P103" s="249">
        <x:f t="shared" si="126"/>
        <x:v>-2769.4326780360498</x:v>
      </x:c>
      <x:c r="Q103" s="249">
        <x:f t="shared" si="127"/>
        <x:v>3132.0793724381033</x:v>
      </x:c>
      <x:c r="R103" s="249">
        <x:f t="shared" si="128"/>
        <x:v>3132.0793724381033</x:v>
      </x:c>
      <x:c r="S103" s="249">
        <x:f t="shared" si="129"/>
        <x:v>-2769.4326780360498</x:v>
      </x:c>
      <x:c r="T103" s="23"/>
      <x:c r="U103" s="23"/>
      <x:c r="V103" s="260">
        <x:f t="shared" si="143"/>
        <x:v>-2236.4251270568029</x:v>
      </x:c>
      <x:c r="W103" s="260">
        <x:f t="shared" si="144"/>
        <x:v>-3215.8610672449827</x:v>
      </x:c>
      <x:c r="X103" s="260">
        <x:f t="shared" si="145"/>
        <x:v>2571.4669855477355</x:v>
      </x:c>
      <x:c r="Y103" s="260">
        <x:f t="shared" si="146"/>
        <x:v>2880.8192087540501</x:v>
      </x:c>
      <x:c r="Z103" s="260">
        <x:f t="shared" si="147"/>
        <x:v>-1837.6684687081031</x:v>
      </x:c>
      <x:c r="AA103" s="260">
        <x:f t="shared" si="148"/>
        <x:v>420.74241891128452</x:v>
      </x:c>
      <x:c r="AB103" s="260">
        <x:f t="shared" si="149"/>
        <x:v>1976.4473504577354</x:v>
      </x:c>
      <x:c r="AC103" s="260">
        <x:f t="shared" si="150"/>
        <x:v>-281.96353716165345</x:v>
      </x:c>
      <x:c r="AD103" s="260"/>
      <x:c r="AE103" s="282">
        <x:f t="shared" si="39"/>
        <x:v>0</x:v>
      </x:c>
      <x:c r="AF103" s="282">
        <x:f t="shared" si="10"/>
        <x:v>277.5577634992635</x:v>
      </x:c>
      <x:c r="AJ103" s="272">
        <x:f t="shared" si="130"/>
        <x:v>367.53369374162065</x:v>
      </x:c>
      <x:c r="AK103" s="272">
        <x:f t="shared" si="131"/>
        <x:v>-42.074241891128452</x:v>
      </x:c>
      <x:c r="AL103" s="272">
        <x:f t="shared" si="132"/>
        <x:v>197.64473504577356</x:v>
      </x:c>
      <x:c r="AM103" s="272">
        <x:f t="shared" si="133"/>
        <x:v>-56.392707432330695</x:v>
      </x:c>
      <x:c r="AN103" s="272">
        <x:f t="shared" si="134"/>
        <x:v>-447.28502541136061</x:v>
      </x:c>
      <x:c r="AO103" s="272">
        <x:f t="shared" si="135"/>
        <x:v>-321.58610672449828</x:v>
      </x:c>
      <x:c r="AP103" s="272">
        <x:f t="shared" si="136"/>
        <x:v>-257.14669855477354</x:v>
      </x:c>
      <x:c r="AQ103" s="272">
        <x:f t="shared" si="137"/>
        <x:v>-576.16384175081009</x:v>
      </x:c>
      <x:c r="AR103" s="272"/>
      <x:c r="AS103" s="286">
        <x:f t="shared" si="32"/>
        <x:v>466.71147946393512</x:v>
      </x:c>
      <x:c r="AT103" s="286">
        <x:f t="shared" si="33"/>
        <x:v>-1602.1816724414425</x:v>
      </x:c>
      <x:c r="AY103" s="279">
        <x:f t="shared" si="138"/>
        <x:v>541.60227393786818</x:v>
      </x:c>
      <x:c r="AZ103" s="279">
        <x:f t="shared" si="139"/>
        <x:v>-541.60227393786818</x:v>
      </x:c>
      <x:c r="BA103" s="279">
        <x:f t="shared" si="140"/>
        <x:v>-110.1902280057634</x:v>
      </x:c>
      <x:c r="BB103" s="279">
        <x:f t="shared" si="141"/>
        <x:v>-110.1902280057634</x:v>
      </x:c>
      <x:c r="BC103" s="279"/>
      <x:c r="BD103" s="289">
        <x:f t="shared" si="151"/>
        <x:v>0</x:v>
      </x:c>
      <x:c r="BE103" s="289">
        <x:f t="shared" si="152"/>
        <x:v>-220.3804560115268</x:v>
      </x:c>
    </x:row>
    <x:row r="104" ht="15.75" customHeight="1">
      <x:c r="A104" s="21">
        <x:v>144</x:v>
      </x:c>
      <x:c r="B104" s="21">
        <x:f t="shared" si="19"/>
        <x:v>324</x:v>
      </x:c>
      <x:c r="C104" s="21">
        <x:f t="shared" si="0"/>
        <x:v>324</x:v>
      </x:c>
      <x:c r="D104" s="21">
        <x:f t="shared" si="20"/>
        <x:v>144</x:v>
      </x:c>
      <x:c r="E104" s="22" t="n">
        <x:f t="shared" ref="E104:H104" si="159">A104*PI()/180</x:f>
        <x:v>2.5132741228718345</x:v>
      </x:c>
      <x:c r="F104" s="22">
        <x:f t="shared" si="159"/>
        <x:v>5.6548667764616276</x:v>
      </x:c>
      <x:c r="G104" s="22">
        <x:f t="shared" si="159"/>
        <x:v>5.6548667764616276</x:v>
      </x:c>
      <x:c r="H104" s="22">
        <x:f t="shared" si="159"/>
        <x:v>2.5132741228718345</x:v>
      </x:c>
      <x:c r="I104" s="23"/>
      <x:c r="J104" s="23"/>
      <x:c r="K104" s="23"/>
      <x:c r="L104" s="249">
        <x:f t="shared" si="122"/>
        <x:v>803.81960329613946</x:v>
      </x:c>
      <x:c r="M104" s="249">
        <x:f t="shared" si="123"/>
        <x:v>-803.81960329613969</x:v>
      </x:c>
      <x:c r="N104" s="249">
        <x:f t="shared" si="124"/>
        <x:v>-803.81960329613969</x:v>
      </x:c>
      <x:c r="O104" s="249">
        <x:f t="shared" si="125"/>
        <x:v>803.81960329613946</x:v>
      </x:c>
      <x:c r="P104" s="249">
        <x:f t="shared" si="126"/>
        <x:v>-2797.8032959506304</x:v>
      </x:c>
      <x:c r="Q104" s="249">
        <x:f t="shared" si="127"/>
        <x:v>3261.027144483865</x:v>
      </x:c>
      <x:c r="R104" s="249">
        <x:f t="shared" si="128"/>
        <x:v>3261.027144483865</x:v>
      </x:c>
      <x:c r="S104" s="249">
        <x:f t="shared" si="129"/>
        <x:v>-2797.8032959506304</x:v>
      </x:c>
      <x:c r="T104" s="23"/>
      <x:c r="U104" s="23"/>
      <x:c r="V104" s="260">
        <x:f t="shared" si="143"/>
        <x:v>-2277.2247563296942</x:v>
      </x:c>
      <x:c r="W104" s="260">
        <x:f t="shared" si="144"/>
        <x:v>-3320.404678544081</x:v>
      </x:c>
      <x:c r="X104" s="260">
        <x:f t="shared" si="145"/>
        <x:v>2705.1877889606581</x:v>
      </x:c>
      <x:c r="Y104" s="260">
        <x:f t="shared" si="146"/>
        <x:v>2892.4416459131171</x:v>
      </x:c>
      <x:c r="Z104" s="260">
        <x:f t="shared" si="147"/>
        <x:v>-1813.3054476933937</x:v>
      </x:c>
      <x:c r="AA104" s="260">
        <x:f t="shared" si="148"/>
        <x:v>505.30858137016776</x:v>
      </x:c>
      <x:c r="AB104" s="260">
        <x:f t="shared" si="149"/>
        <x:v>1990.5735400034587</x:v>
      </x:c>
      <x:c r="AC104" s="260">
        <x:f t="shared" si="150"/>
        <x:v>-328.04048906010325</x:v>
      </x:c>
      <x:c r="AD104" s="260"/>
      <x:c r="AE104" s="282">
        <x:f t="shared" si="39"/>
        <x:v>0</x:v>
      </x:c>
      <x:c r="AF104" s="282">
        <x:f t="shared" si="10"/>
        <x:v>354.53618462012946</x:v>
      </x:c>
      <x:c r="AJ104" s="272">
        <x:f t="shared" si="130"/>
        <x:v>362.66108953867877</x:v>
      </x:c>
      <x:c r="AK104" s="272">
        <x:f t="shared" si="131"/>
        <x:v>-50.530858137016779</x:v>
      </x:c>
      <x:c r="AL104" s="272">
        <x:f t="shared" si="132"/>
        <x:v>199.05735400034587</x:v>
      </x:c>
      <x:c r="AM104" s="272">
        <x:f t="shared" si="133"/>
        <x:v>-65.608097812020659</x:v>
      </x:c>
      <x:c r="AN104" s="272">
        <x:f t="shared" si="134"/>
        <x:v>-455.44495126593887</x:v>
      </x:c>
      <x:c r="AO104" s="272">
        <x:f t="shared" si="135"/>
        <x:v>-332.04046785440812</x:v>
      </x:c>
      <x:c r="AP104" s="272">
        <x:f t="shared" si="136"/>
        <x:v>-270.51877889606584</x:v>
      </x:c>
      <x:c r="AQ104" s="272">
        <x:f t="shared" si="137"/>
        <x:v>-578.48832918262349</x:v>
      </x:c>
      <x:c r="AR104" s="272"/>
      <x:c r="AS104" s="286">
        <x:f t="shared" si="32"/>
        <x:v>445.5794875899872</x:v>
      </x:c>
      <x:c r="AT104" s="286">
        <x:f t="shared" si="33"/>
        <x:v>-1636.4925271990364</x:v>
      </x:c>
      <x:c r="AY104" s="279">
        <x:f t="shared" si="138"/>
        <x:v>532.59647627264724</x:v>
      </x:c>
      <x:c r="AZ104" s="279">
        <x:f t="shared" si="139"/>
        <x:v>-532.59647627264724</x:v>
      </x:c>
      <x:c r="BA104" s="279">
        <x:f t="shared" si="140"/>
        <x:v>-147.70207495018883</x:v>
      </x:c>
      <x:c r="BB104" s="279">
        <x:f t="shared" si="141"/>
        <x:v>-147.70207495018883</x:v>
      </x:c>
      <x:c r="BC104" s="279"/>
      <x:c r="BD104" s="289">
        <x:f t="shared" si="151"/>
        <x:v>0</x:v>
      </x:c>
      <x:c r="BE104" s="289">
        <x:f t="shared" si="152"/>
        <x:v>-295.40414990037766</x:v>
      </x:c>
    </x:row>
    <x:row r="105" ht="15.75" customHeight="1">
      <x:c r="A105" s="21">
        <x:v>146</x:v>
      </x:c>
      <x:c r="B105" s="21">
        <x:f t="shared" si="19"/>
        <x:v>326</x:v>
      </x:c>
      <x:c r="C105" s="21">
        <x:f t="shared" si="0"/>
        <x:v>326</x:v>
      </x:c>
      <x:c r="D105" s="21">
        <x:f t="shared" si="20"/>
        <x:v>146</x:v>
      </x:c>
      <x:c r="E105" s="22" t="n">
        <x:f t="shared" ref="E105:H105" si="160">A105*PI()/180</x:f>
        <x:v>2.548180707911721</x:v>
      </x:c>
      <x:c r="F105" s="22">
        <x:f t="shared" si="160"/>
        <x:v>5.6897733615015138</x:v>
      </x:c>
      <x:c r="G105" s="22">
        <x:f t="shared" si="160"/>
        <x:v>5.6897733615015138</x:v>
      </x:c>
      <x:c r="H105" s="22">
        <x:f t="shared" si="160"/>
        <x:v>2.5481807079117211</x:v>
      </x:c>
      <x:c r="I105" s="23"/>
      <x:c r="J105" s="23"/>
      <x:c r="K105" s="23"/>
      <x:c r="L105" s="249">
        <x:f t="shared" si="122"/>
        <x:v>764.71843429343562</x:v>
      </x:c>
      <x:c r="M105" s="249">
        <x:f t="shared" si="123"/>
        <x:v>-764.7184342934363</x:v>
      </x:c>
      <x:c r="N105" s="249">
        <x:f t="shared" si="124"/>
        <x:v>-764.7184342934363</x:v>
      </x:c>
      <x:c r="O105" s="249">
        <x:f t="shared" si="125"/>
        <x:v>764.71843429343562</x:v>
      </x:c>
      <x:c r="P105" s="249">
        <x:f t="shared" si="126"/>
        <x:v>-2823.6114280784959</x:v>
      </x:c>
      <x:c r="Q105" s="249">
        <x:f t="shared" si="127"/>
        <x:v>3385.1556507159521</x:v>
      </x:c>
      <x:c r="R105" s="249">
        <x:f t="shared" si="128"/>
        <x:v>3385.1556507159521</x:v>
      </x:c>
      <x:c r="S105" s="249">
        <x:f t="shared" si="129"/>
        <x:v>-2823.6114280784959</x:v>
      </x:c>
      <x:c r="T105" s="23"/>
      <x:c r="U105" s="23"/>
      <x:c r="V105" s="260">
        <x:f t="shared" si="143"/>
        <x:v>-2316.0317309384181</x:v>
      </x:c>
      <x:c r="W105" s="260">
        <x:f t="shared" si="144"/>
        <x:v>-3420.121095289664</x:v>
      </x:c>
      <x:c r="X105" s="260">
        <x:f t="shared" si="145"/>
        <x:v>2834.8309448331252</x:v>
      </x:c>
      <x:c r="Y105" s="260">
        <x:f t="shared" si="146"/>
        <x:v>2901.321881394957</x:v>
      </x:c>
      <x:c r="Z105" s="260">
        <x:f t="shared" si="147"/>
        <x:v>-1787.0570225401543</x:v>
      </x:c>
      <x:c r="AA105" s="260">
        <x:f t="shared" si="148"/>
        <x:v>588.93527392827673</x:v>
      </x:c>
      <x:c r="AB105" s="260">
        <x:f t="shared" si="149"/>
        <x:v>2001.9506930838429</x:v>
      </x:c>
      <x:c r="AC105" s="260">
        <x:f t="shared" si="150"/>
        <x:v>-374.04160338458951</x:v>
      </x:c>
      <x:c r="AD105" s="260"/>
      <x:c r="AE105" s="282">
        <x:f t="shared" si="39"/>
        <x:v>0</x:v>
      </x:c>
      <x:c r="AF105" s="282">
        <x:f t="shared" si="10"/>
        <x:v>429.78734108737581</x:v>
      </x:c>
      <x:c r="AJ105" s="272">
        <x:f t="shared" si="130"/>
        <x:v>357.4114045080309</x:v>
      </x:c>
      <x:c r="AK105" s="272">
        <x:f t="shared" si="131"/>
        <x:v>-58.893527392827679</x:v>
      </x:c>
      <x:c r="AL105" s="272">
        <x:f t="shared" si="132"/>
        <x:v>200.19506930838429</x:v>
      </x:c>
      <x:c r="AM105" s="272">
        <x:f t="shared" si="133"/>
        <x:v>-74.808320676917901</x:v>
      </x:c>
      <x:c r="AN105" s="272">
        <x:f t="shared" si="134"/>
        <x:v>-463.20634618768366</x:v>
      </x:c>
      <x:c r="AO105" s="272">
        <x:f t="shared" si="135"/>
        <x:v>-342.01210952896645</x:v>
      </x:c>
      <x:c r="AP105" s="272">
        <x:f t="shared" si="136"/>
        <x:v>-283.48309448331253</x:v>
      </x:c>
      <x:c r="AQ105" s="272">
        <x:f t="shared" si="137"/>
        <x:v>-580.26437627899145</x:v>
      </x:c>
      <x:c r="AR105" s="272"/>
      <x:c r="AS105" s="286">
        <x:f t="shared" si="32"/>
        <x:v>423.90462574666958</x:v>
      </x:c>
      <x:c r="AT105" s="286">
        <x:f t="shared" si="33"/>
        <x:v>-1668.9659264789541</x:v>
      </x:c>
      <x:c r="AY105" s="279">
        <x:f t="shared" si="138"/>
        <x:v>520.99592211143681</x:v>
      </x:c>
      <x:c r="AZ105" s="279">
        <x:f t="shared" si="139"/>
        <x:v>-520.99592211143681</x:v>
      </x:c>
      <x:c r="BA105" s="279">
        <x:f t="shared" si="140"/>
        <x:v>-184.49433223241667</x:v>
      </x:c>
      <x:c r="BB105" s="279">
        <x:f t="shared" si="141"/>
        <x:v>-184.49433223241667</x:v>
      </x:c>
      <x:c r="BC105" s="279"/>
      <x:c r="BD105" s="289">
        <x:f t="shared" si="151"/>
        <x:v>0</x:v>
      </x:c>
      <x:c r="BE105" s="289">
        <x:f t="shared" si="152"/>
        <x:v>-368.98866446483333</x:v>
      </x:c>
    </x:row>
    <x:row r="106" ht="15.75" customHeight="1">
      <x:c r="A106" s="21">
        <x:v>148</x:v>
      </x:c>
      <x:c r="B106" s="21">
        <x:f t="shared" si="19"/>
        <x:v>328</x:v>
      </x:c>
      <x:c r="C106" s="21">
        <x:f t="shared" si="0"/>
        <x:v>328</x:v>
      </x:c>
      <x:c r="D106" s="21">
        <x:f t="shared" si="20"/>
        <x:v>148</x:v>
      </x:c>
      <x:c r="E106" s="22" t="n">
        <x:f t="shared" ref="E106:H106" si="161">A106*PI()/180</x:f>
        <x:v>2.5830872929516078</x:v>
      </x:c>
      <x:c r="F106" s="22">
        <x:f t="shared" si="161"/>
        <x:v>5.7246799465414</x:v>
      </x:c>
      <x:c r="G106" s="22">
        <x:f t="shared" si="161"/>
        <x:v>5.7246799465414</x:v>
      </x:c>
      <x:c r="H106" s="22">
        <x:f t="shared" si="161"/>
        <x:v>2.5830872929516078</x:v>
      </x:c>
      <x:c r="I106" s="23"/>
      <x:c r="J106" s="23"/>
      <x:c r="K106" s="23"/>
      <x:c r="L106" s="249">
        <x:f t="shared" si="122"/>
        <x:v>724.68557367438973</x:v>
      </x:c>
      <x:c r="M106" s="249">
        <x:f t="shared" si="123"/>
        <x:v>-724.68557367439098</x:v>
      </x:c>
      <x:c r="N106" s="249">
        <x:f t="shared" si="124"/>
        <x:v>-724.68557367439098</x:v>
      </x:c>
      <x:c r="O106" s="249">
        <x:f t="shared" si="125"/>
        <x:v>724.68557367438973</x:v>
      </x:c>
      <x:c r="P106" s="249">
        <x:f t="shared" si="126"/>
        <x:v>-2847.0052405604633</x:v>
      </x:c>
      <x:c r="Q106" s="249">
        <x:f t="shared" si="127"/>
        <x:v>3504.1340502956791</x:v>
      </x:c>
      <x:c r="R106" s="249">
        <x:f t="shared" si="128"/>
        <x:v>3504.1340502956791</x:v>
      </x:c>
      <x:c r="S106" s="249">
        <x:f t="shared" si="129"/>
        <x:v>-2847.0052405604633</x:v>
      </x:c>
      <x:c r="T106" s="23"/>
      <x:c r="U106" s="23"/>
      <x:c r="V106" s="260">
        <x:f t="shared" si="143"/>
        <x:v>-2352.9647079870047</x:v>
      </x:c>
      <x:c r="W106" s="260">
        <x:f t="shared" si="144"/>
        <x:v>-3514.722890963234</x:v>
      </x:c>
      <x:c r="X106" s="260">
        <x:f t="shared" si="145"/>
        <x:v>2960.0725655248734</x:v>
      </x:c>
      <x:c r="Y106" s="260">
        <x:f t="shared" si="146"/>
        <x:v>2907.6150334253643</x:v>
      </x:c>
      <x:c r="Z106" s="260">
        <x:f t="shared" si="147"/>
        <x:v>-1759.0239064430452</x:v>
      </x:c>
      <x:c r="AA106" s="260">
        <x:f t="shared" si="148"/>
        <x:v>671.45187681056473</x:v>
      </x:c>
      <x:c r="AB106" s="260">
        <x:f t="shared" si="149"/>
        <x:v>2010.4962148585048</x:v>
      </x:c>
      <x:c r="AC106" s="260">
        <x:f t="shared" si="150"/>
        <x:v>-419.97956839510755</x:v>
      </x:c>
      <x:c r="AD106" s="260"/>
      <x:c r="AE106" s="282">
        <x:f t="shared" si="39"/>
        <x:v>0</x:v>
      </x:c>
      <x:c r="AF106" s="282">
        <x:f t="shared" si="10"/>
        <x:v>502.94461683091674</x:v>
      </x:c>
      <x:c r="AJ106" s="272">
        <x:f t="shared" si="130"/>
        <x:v>351.80478128860909</x:v>
      </x:c>
      <x:c r="AK106" s="272">
        <x:f t="shared" si="131"/>
        <x:v>-67.14518768105647</x:v>
      </x:c>
      <x:c r="AL106" s="272">
        <x:f t="shared" si="132"/>
        <x:v>201.04962148585048</x:v>
      </x:c>
      <x:c r="AM106" s="272">
        <x:f t="shared" si="133"/>
        <x:v>-83.995913679021513</x:v>
      </x:c>
      <x:c r="AN106" s="272">
        <x:f t="shared" si="134"/>
        <x:v>-470.59294159740097</x:v>
      </x:c>
      <x:c r="AO106" s="272">
        <x:f t="shared" si="135"/>
        <x:v>-351.47228909632344</x:v>
      </x:c>
      <x:c r="AP106" s="272">
        <x:f t="shared" si="136"/>
        <x:v>-296.00725655248738</x:v>
      </x:c>
      <x:c r="AQ106" s="272">
        <x:f t="shared" si="137"/>
        <x:v>-581.52300668507291</x:v>
      </x:c>
      <x:c r="AR106" s="272"/>
      <x:c r="AS106" s="286">
        <x:f t="shared" si="32"/>
        <x:v>401.71330141438159</x:v>
      </x:c>
      <x:c r="AT106" s="286">
        <x:f t="shared" si="33"/>
        <x:v>-1699.5954939312846</x:v>
      </x:c>
      <x:c r="AY106" s="279">
        <x:f t="shared" si="138"/>
        <x:v>506.85712818802648</x:v>
      </x:c>
      <x:c r="AZ106" s="279">
        <x:f t="shared" si="139"/>
        <x:v>-506.85712818802648</x:v>
      </x:c>
      <x:c r="BA106" s="279">
        <x:f t="shared" si="140"/>
        <x:v>-220.38775167331357</x:v>
      </x:c>
      <x:c r="BB106" s="279">
        <x:f t="shared" si="141"/>
        <x:v>-220.38775167331357</x:v>
      </x:c>
      <x:c r="BC106" s="279"/>
      <x:c r="BD106" s="289">
        <x:f t="shared" si="151"/>
        <x:v>0</x:v>
      </x:c>
      <x:c r="BE106" s="289">
        <x:f t="shared" si="152"/>
        <x:v>-440.77550334662715</x:v>
      </x:c>
    </x:row>
    <x:row r="107" ht="15.75" customHeight="1">
      <x:c r="A107" s="21">
        <x:v>150</x:v>
      </x:c>
      <x:c r="B107" s="21">
        <x:f t="shared" si="19"/>
        <x:v>330</x:v>
      </x:c>
      <x:c r="C107" s="21">
        <x:f t="shared" si="0"/>
        <x:v>330</x:v>
      </x:c>
      <x:c r="D107" s="21">
        <x:f t="shared" si="20"/>
        <x:v>150</x:v>
      </x:c>
      <x:c r="E107" s="22" t="n">
        <x:f t="shared" ref="E107:H107" si="162">A107*PI()/180</x:f>
        <x:v>2.6179938779914944</x:v>
      </x:c>
      <x:c r="F107" s="22">
        <x:f t="shared" si="162"/>
        <x:v>5.7595865315812871</x:v>
      </x:c>
      <x:c r="G107" s="22">
        <x:f t="shared" si="162"/>
        <x:v>5.7595865315812871</x:v>
      </x:c>
      <x:c r="H107" s="22">
        <x:f t="shared" si="162"/>
        <x:v>2.6179938779914944</x:v>
      </x:c>
      <x:c r="I107" s="23"/>
      <x:c r="J107" s="23"/>
      <x:c r="K107" s="23"/>
      <x:c r="L107" s="249">
        <x:f t="shared" si="122"/>
        <x:v>683.76979531307688</x:v>
      </x:c>
      <x:c r="M107" s="249">
        <x:f t="shared" si="123"/>
        <x:v>-683.76979531307757</x:v>
      </x:c>
      <x:c r="N107" s="249">
        <x:f t="shared" si="124"/>
        <x:v>-683.76979531307757</x:v>
      </x:c>
      <x:c r="O107" s="249">
        <x:f t="shared" si="125"/>
        <x:v>683.76979531307688</x:v>
      </x:c>
      <x:c r="P107" s="249">
        <x:f t="shared" si="126"/>
        <x:v>-2868.130843341818</x:v>
      </x:c>
      <x:c r="Q107" s="249">
        <x:f t="shared" si="127"/>
        <x:v>3617.6427746681234</x:v>
      </x:c>
      <x:c r="R107" s="249">
        <x:f t="shared" si="128"/>
        <x:v>3617.6427746681234</x:v>
      </x:c>
      <x:c r="S107" s="249">
        <x:f t="shared" si="129"/>
        <x:v>-2868.130843341818</x:v>
      </x:c>
      <x:c r="T107" s="23"/>
      <x:c r="U107" s="23"/>
      <x:c r="V107" s="260">
        <x:f t="shared" si="143"/>
        <x:v>-2388.1400105098583</x:v>
      </x:c>
      <x:c r="W107" s="260">
        <x:f t="shared" si="144"/>
        <x:v>-3603.9334876712037</x:v>
      </x:c>
      <x:c r="X107" s="260">
        <x:f t="shared" si="145"/>
        <x:v>3080.5987432352367</x:v>
      </x:c>
      <x:c r="Y107" s="260">
        <x:f t="shared" si="146"/>
        <x:v>2911.4747549458243</x:v>
      </x:c>
      <x:c r="Z107" s="260">
        <x:f t="shared" si="147"/>
        <x:v>-1729.3070744414104</x:v>
      </x:c>
      <x:c r="AA107" s="260">
        <x:f t="shared" si="148"/>
        <x:v>752.69103524158027</x:v>
      </x:c>
      <x:c r="AB107" s="260">
        <x:f t="shared" si="149"/>
        <x:v>2016.132872919949</x:v>
      </x:c>
      <x:c r="AC107" s="260">
        <x:f t="shared" si="150"/>
        <x:v>-465.86523676304296</x:v>
      </x:c>
      <x:c r="AD107" s="260"/>
      <x:c r="AE107" s="282">
        <x:f t="shared" si="39"/>
        <x:v>0</x:v>
      </x:c>
      <x:c r="AF107" s="282">
        <x:f t="shared" si="10"/>
        <x:v>573.65159695707598</x:v>
      </x:c>
      <x:c r="AJ107" s="272">
        <x:f t="shared" si="130"/>
        <x:v>345.86141488828207</x:v>
      </x:c>
      <x:c r="AK107" s="272">
        <x:f t="shared" si="131"/>
        <x:v>-75.269103524158027</x:v>
      </x:c>
      <x:c r="AL107" s="272">
        <x:f t="shared" si="132"/>
        <x:v>201.61328729199491</x:v>
      </x:c>
      <x:c r="AM107" s="272">
        <x:f t="shared" si="133"/>
        <x:v>-93.173047352608592</x:v>
      </x:c>
      <x:c r="AN107" s="272">
        <x:f t="shared" si="134"/>
        <x:v>-477.62800210197167</x:v>
      </x:c>
      <x:c r="AO107" s="272">
        <x:f t="shared" si="135"/>
        <x:v>-360.39334876712041</x:v>
      </x:c>
      <x:c r="AP107" s="272">
        <x:f t="shared" si="136"/>
        <x:v>-308.05987432352367</x:v>
      </x:c>
      <x:c r="AQ107" s="272">
        <x:f t="shared" si="137"/>
        <x:v>-582.29495098916493</x:v>
      </x:c>
      <x:c r="AR107" s="272"/>
      <x:c r="AS107" s="286">
        <x:f t="shared" si="32"/>
        <x:v>379.03255130351033</x:v>
      </x:c>
      <x:c r="AT107" s="286">
        <x:f t="shared" si="33"/>
        <x:v>-1728.3761761817809</x:v>
      </x:c>
      <x:c r="AY107" s="279">
        <x:f t="shared" si="138"/>
        <x:v>490.24897728518414</x:v>
      </x:c>
      <x:c r="AZ107" s="279">
        <x:f t="shared" si="139"/>
        <x:v>-490.24897728518414</x:v>
      </x:c>
      <x:c r="BA107" s="279">
        <x:f t="shared" si="140"/>
        <x:v>-255.20746414135837</x:v>
      </x:c>
      <x:c r="BB107" s="279">
        <x:f t="shared" si="141"/>
        <x:v>-255.20746414135837</x:v>
      </x:c>
      <x:c r="BC107" s="279"/>
      <x:c r="BD107" s="289">
        <x:f t="shared" si="151"/>
        <x:v>0</x:v>
      </x:c>
      <x:c r="BE107" s="289">
        <x:f t="shared" si="152"/>
        <x:v>-510.41492828271674</x:v>
      </x:c>
    </x:row>
    <x:row r="108" ht="15.75" customHeight="1">
      <x:c r="A108" s="21">
        <x:v>152</x:v>
      </x:c>
      <x:c r="B108" s="21">
        <x:f t="shared" si="19"/>
        <x:v>332</x:v>
      </x:c>
      <x:c r="C108" s="21">
        <x:f t="shared" si="0"/>
        <x:v>332</x:v>
      </x:c>
      <x:c r="D108" s="21">
        <x:f t="shared" si="20"/>
        <x:v>152</x:v>
      </x:c>
      <x:c r="E108" s="22" t="n">
        <x:f t="shared" ref="E108:H108" si="163">A108*PI()/180</x:f>
        <x:v>2.6529004630313806</x:v>
      </x:c>
      <x:c r="F108" s="22">
        <x:f t="shared" si="163"/>
        <x:v>5.7944931166211742</x:v>
      </x:c>
      <x:c r="G108" s="22">
        <x:f t="shared" si="163"/>
        <x:v>5.7944931166211742</x:v>
      </x:c>
      <x:c r="H108" s="22">
        <x:f t="shared" si="163"/>
        <x:v>2.6529004630313806</x:v>
      </x:c>
      <x:c r="I108" s="23"/>
      <x:c r="J108" s="23"/>
      <x:c r="K108" s="23"/>
      <x:c r="L108" s="249">
        <x:f t="shared" si="122"/>
        <x:v>642.02094878283822</x:v>
      </x:c>
      <x:c r="M108" s="249">
        <x:f t="shared" si="123"/>
        <x:v>-642.02094878283788</x:v>
      </x:c>
      <x:c r="N108" s="249">
        <x:f t="shared" si="124"/>
        <x:v>-642.02094878283788</x:v>
      </x:c>
      <x:c r="O108" s="249">
        <x:f t="shared" si="125"/>
        <x:v>642.02094878283822</x:v>
      </x:c>
      <x:c r="P108" s="249">
        <x:f t="shared" si="126"/>
        <x:v>-2887.1312614691919</x:v>
      </x:c>
      <x:c r="Q108" s="249">
        <x:f t="shared" si="127"/>
        <x:v>3725.3747675978411</x:v>
      </x:c>
      <x:c r="R108" s="249">
        <x:f t="shared" si="128"/>
        <x:v>3725.3747675978411</x:v>
      </x:c>
      <x:c r="S108" s="249">
        <x:f t="shared" si="129"/>
        <x:v>-2887.1312614691919</x:v>
      </x:c>
      <x:c r="T108" s="23"/>
      <x:c r="U108" s="23"/>
      <x:c r="V108" s="260">
        <x:f t="shared" si="143"/>
        <x:v>-2421.6706998143704</x:v>
      </x:c>
      <x:c r="W108" s="260">
        <x:f t="shared" si="144"/>
        <x:v>-3687.4882790481452</x:v>
      </x:c>
      <x:c r="X108" s="260">
        <x:f t="shared" si="145"/>
        <x:v>3196.1067183871291</x:v>
      </x:c>
      <x:c r="Y108" s="260">
        <x:f t="shared" si="146"/>
        <x:v>2913.0522604753864</x:v>
      </x:c>
      <x:c r="Z108" s="260">
        <x:f t="shared" si="147"/>
        <x:v>-1698.0073148515235</x:v>
      </x:c>
      <x:c r="AA108" s="260">
        <x:f t="shared" si="148"/>
        <x:v>832.48918888669971</x:v>
      </x:c>
      <x:c r="AB108" s="260">
        <x:f t="shared" si="149"/>
        <x:v>2018.7892169345819</x:v>
      </x:c>
      <x:c r="AC108" s="260">
        <x:f t="shared" si="150"/>
        <x:v>-511.70728680364073</x:v>
      </x:c>
      <x:c r="AD108" s="260"/>
      <x:c r="AE108" s="282">
        <x:f t="shared" si="39"/>
        <x:v>0</x:v>
      </x:c>
      <x:c r="AF108" s="282">
        <x:f t="shared" si="10"/>
        <x:v>641.56380416611728</x:v>
      </x:c>
      <x:c r="AJ108" s="272">
        <x:f t="shared" si="130"/>
        <x:v>339.60146297030474</x:v>
      </x:c>
      <x:c r="AK108" s="272">
        <x:f t="shared" si="131"/>
        <x:v>-83.248918888669976</x:v>
      </x:c>
      <x:c r="AL108" s="272">
        <x:f t="shared" si="132"/>
        <x:v>201.87892169345821</x:v>
      </x:c>
      <x:c r="AM108" s="272">
        <x:f t="shared" si="133"/>
        <x:v>-102.34145736072816</x:v>
      </x:c>
      <x:c r="AN108" s="272">
        <x:f t="shared" si="134"/>
        <x:v>-484.33413996287413</x:v>
      </x:c>
      <x:c r="AO108" s="272">
        <x:f t="shared" si="135"/>
        <x:v>-368.74882790481456</x:v>
      </x:c>
      <x:c r="AP108" s="272">
        <x:f t="shared" si="136"/>
        <x:v>-319.61067183871296</x:v>
      </x:c>
      <x:c r="AQ108" s="272">
        <x:f t="shared" si="137"/>
        <x:v>-582.61045209507733</x:v>
      </x:c>
      <x:c r="AR108" s="272"/>
      <x:c r="AS108" s="286">
        <x:f t="shared" si="32"/>
        <x:v>355.89000841436479</x:v>
      </x:c>
      <x:c r="AT108" s="286">
        <x:f t="shared" si="33"/>
        <x:v>-1755.304091801479</x:v>
      </x:c>
      <x:c r="AY108" s="279">
        <x:f t="shared" si="138"/>
        <x:v>471.25238264466361</x:v>
      </x:c>
      <x:c r="AZ108" s="279">
        <x:f t="shared" si="139"/>
        <x:v>-471.25238264466361</x:v>
      </x:c>
      <x:c r="BA108" s="279">
        <x:f t="shared" si="140"/>
        <x:v>-288.7838314974702</x:v>
      </x:c>
      <x:c r="BB108" s="279">
        <x:f t="shared" si="141"/>
        <x:v>-288.7838314974702</x:v>
      </x:c>
      <x:c r="BC108" s="279"/>
      <x:c r="BD108" s="289">
        <x:f t="shared" si="151"/>
        <x:v>0</x:v>
      </x:c>
      <x:c r="BE108" s="289">
        <x:f t="shared" si="152"/>
        <x:v>-577.56766299494041</x:v>
      </x:c>
    </x:row>
    <x:row r="109" ht="15.75" customHeight="1">
      <x:c r="A109" s="21">
        <x:v>154</x:v>
      </x:c>
      <x:c r="B109" s="21">
        <x:f t="shared" si="19"/>
        <x:v>334</x:v>
      </x:c>
      <x:c r="C109" s="21">
        <x:f t="shared" si="0"/>
        <x:v>334</x:v>
      </x:c>
      <x:c r="D109" s="21">
        <x:f t="shared" si="20"/>
        <x:v>154</x:v>
      </x:c>
      <x:c r="E109" s="22" t="n">
        <x:f t="shared" ref="E109:H109" si="164">A109*PI()/180</x:f>
        <x:v>2.6878070480712677</x:v>
      </x:c>
      <x:c r="F109" s="22">
        <x:f t="shared" si="164"/>
        <x:v>5.8293997016610613</x:v>
      </x:c>
      <x:c r="G109" s="22">
        <x:f t="shared" si="164"/>
        <x:v>5.8293997016610613</x:v>
      </x:c>
      <x:c r="H109" s="22">
        <x:f t="shared" si="164"/>
        <x:v>2.6878070480712677</x:v>
      </x:c>
      <x:c r="I109" s="23"/>
      <x:c r="J109" s="23"/>
      <x:c r="K109" s="23"/>
      <x:c r="L109" s="249">
        <x:f t="shared" si="122"/>
        <x:v>599.48989862225244</x:v>
      </x:c>
      <x:c r="M109" s="249">
        <x:f t="shared" si="123"/>
        <x:v>-599.4898986222521</x:v>
      </x:c>
      <x:c r="N109" s="249">
        <x:f t="shared" si="124"/>
        <x:v>-599.4898986222521</x:v>
      </x:c>
      <x:c r="O109" s="249">
        <x:f t="shared" si="125"/>
        <x:v>599.48989862225244</x:v>
      </x:c>
      <x:c r="P109" s="249">
        <x:f t="shared" si="126"/>
        <x:v>-2904.1454386385503</x:v>
      </x:c>
      <x:c r="Q109" s="249">
        <x:f t="shared" si="127"/>
        <x:v>3827.0366814676267</x:v>
      </x:c>
      <x:c r="R109" s="249">
        <x:f t="shared" si="128"/>
        <x:v>3827.0366814676267</x:v>
      </x:c>
      <x:c r="S109" s="249">
        <x:f t="shared" si="129"/>
        <x:v>-2904.1454386385503</x:v>
      </x:c>
      <x:c r="T109" s="23"/>
      <x:c r="U109" s="23"/>
      <x:c r="V109" s="260">
        <x:f t="shared" si="143"/>
        <x:v>-2453.6656781212064</x:v>
      </x:c>
      <x:c r="W109" s="260">
        <x:f t="shared" si="144"/>
        <x:v>-3765.1357122508202</x:v>
      </x:c>
      <x:c r="X109" s="260">
        <x:f t="shared" si="145"/>
        <x:v>3306.3060081048939</x:v>
      </x:c>
      <x:c r="Y109" s="260">
        <x:f t="shared" si="146"/>
        <x:v>2912.4953822671328</x:v>
      </x:c>
      <x:c r="Z109" s="260">
        <x:f t="shared" si="147"/>
        <x:v>-1665.224791829985</x:v>
      </x:c>
      <x:c r="AA109" s="260">
        <x:f t="shared" si="148"/>
        <x:v>910.68708576676931</x:v>
      </x:c>
      <x:c r="AB109" s="260">
        <x:f t="shared" si="149"/>
        <x:v>2018.3999803354993</x:v>
      </x:c>
      <x:c r="AC109" s="260">
        <x:f t="shared" si="150"/>
        <x:v>-557.51189726125449</x:v>
      </x:c>
      <x:c r="AD109" s="260"/>
      <x:c r="AE109" s="282">
        <x:f t="shared" si="39"/>
        <x:v>0</x:v>
      </x:c>
      <x:c r="AF109" s="282">
        <x:f t="shared" si="10"/>
        <x:v>706.3503770110292</x:v>
      </x:c>
      <x:c r="AJ109" s="272">
        <x:f t="shared" si="130"/>
        <x:v>333.04495836599699</x:v>
      </x:c>
      <x:c r="AK109" s="272">
        <x:f t="shared" si="131"/>
        <x:v>-91.06870857667694</x:v>
      </x:c>
      <x:c r="AL109" s="272">
        <x:f t="shared" si="132"/>
        <x:v>201.83999803354993</x:v>
      </x:c>
      <x:c r="AM109" s="272">
        <x:f t="shared" si="133"/>
        <x:v>-111.50237945225091</x:v>
      </x:c>
      <x:c r="AN109" s="272">
        <x:f t="shared" si="134"/>
        <x:v>-490.7331356242413</x:v>
      </x:c>
      <x:c r="AO109" s="272">
        <x:f t="shared" si="135"/>
        <x:v>-376.51357122508205</x:v>
      </x:c>
      <x:c r="AP109" s="272">
        <x:f t="shared" si="136"/>
        <x:v>-330.6306008104894</x:v>
      </x:c>
      <x:c r="AQ109" s="272">
        <x:f t="shared" si="137"/>
        <x:v>-582.4990764534266</x:v>
      </x:c>
      <x:c r="AR109" s="272"/>
      <x:c r="AS109" s="286">
        <x:f t="shared" si="32"/>
        <x:v>332.31386837061905</x:v>
      </x:c>
      <x:c r="AT109" s="286">
        <x:f t="shared" si="33"/>
        <x:v>-1780.3763841132393</x:v>
      </x:c>
      <x:c r="AY109" s="279">
        <x:f t="shared" si="138"/>
        <x:v>449.95989376602165</x:v>
      </x:c>
      <x:c r="AZ109" s="279">
        <x:f t="shared" si="139"/>
        <x:v>-449.95989376602165</x:v>
      </x:c>
      <x:c r="BA109" s="279">
        <x:f t="shared" si="140"/>
        <x:v>-320.95327305497631</x:v>
      </x:c>
      <x:c r="BB109" s="279">
        <x:f t="shared" si="141"/>
        <x:v>-320.95327305497631</x:v>
      </x:c>
      <x:c r="BC109" s="279"/>
      <x:c r="BD109" s="289">
        <x:f t="shared" si="151"/>
        <x:v>0</x:v>
      </x:c>
      <x:c r="BE109" s="289">
        <x:f t="shared" si="152"/>
        <x:v>-641.90654610995261</x:v>
      </x:c>
    </x:row>
    <x:row r="110" ht="15.75" customHeight="1">
      <x:c r="A110" s="21">
        <x:v>156</x:v>
      </x:c>
      <x:c r="B110" s="21">
        <x:f t="shared" si="19"/>
        <x:v>336</x:v>
      </x:c>
      <x:c r="C110" s="21">
        <x:f t="shared" si="0"/>
        <x:v>336</x:v>
      </x:c>
      <x:c r="D110" s="21">
        <x:f t="shared" si="20"/>
        <x:v>156</x:v>
      </x:c>
      <x:c r="E110" s="22" t="n">
        <x:f t="shared" ref="E110:H110" si="165">A110*PI()/180</x:f>
        <x:v>2.722713633111154</x:v>
      </x:c>
      <x:c r="F110" s="22">
        <x:f t="shared" si="165"/>
        <x:v>5.8643062867009474</x:v>
      </x:c>
      <x:c r="G110" s="22">
        <x:f t="shared" si="165"/>
        <x:v>5.8643062867009474</x:v>
      </x:c>
      <x:c r="H110" s="22">
        <x:f t="shared" si="165"/>
        <x:v>2.7227136331111539</x:v>
      </x:c>
      <x:c r="I110" s="23"/>
      <x:c r="J110" s="23"/>
      <x:c r="K110" s="23"/>
      <x:c r="L110" s="249">
        <x:f t="shared" si="122"/>
        <x:v>556.2284623645362</x:v>
      </x:c>
      <x:c r="M110" s="249">
        <x:f t="shared" si="123"/>
        <x:v>-556.22846236453586</x:v>
      </x:c>
      <x:c r="N110" s="249">
        <x:f t="shared" si="124"/>
        <x:v>-556.22846236453586</x:v>
      </x:c>
      <x:c r="O110" s="249">
        <x:f t="shared" si="125"/>
        <x:v>556.2284623645362</x:v>
      </x:c>
      <x:c r="P110" s="249">
        <x:f t="shared" si="126"/>
        <x:v>-2919.3072782139734</x:v>
      </x:c>
      <x:c r="Q110" s="249">
        <x:f t="shared" si="127"/>
        <x:v>3922.3500243771155</x:v>
      </x:c>
      <x:c r="R110" s="249">
        <x:f t="shared" si="128"/>
        <x:v>3922.3500243771155</x:v>
      </x:c>
      <x:c r="S110" s="249">
        <x:f t="shared" si="129"/>
        <x:v>-2919.3072782139734</x:v>
      </x:c>
      <x:c r="T110" s="23"/>
      <x:c r="U110" s="23"/>
      <x:c r="V110" s="260">
        <x:f t="shared" si="143"/>
        <x:v>-2484.2288262963057</x:v>
      </x:c>
      <x:c r="W110" s="260">
        <x:f t="shared" si="144"/>
        <x:v>-3836.6383240239802</x:v>
      </x:c>
      <x:c r="X110" s="260">
        <x:f t="shared" si="145"/>
        <x:v>3410.9194897103471</x:v>
      </x:c>
      <x:c r="Y110" s="260">
        <x:f t="shared" si="146"/>
        <x:v>2909.9476606099397</x:v>
      </x:c>
      <x:c r="Z110" s="260">
        <x:f t="shared" si="147"/>
        <x:v>-1631.058621134131</x:v>
      </x:c>
      <x:c r="AA110" s="260">
        <x:f t="shared" si="148"/>
        <x:v>987.13027848710908</x:v>
      </x:c>
      <x:c r="AB110" s="260">
        <x:f t="shared" si="149"/>
        <x:v>2014.9064620447475</x:v>
      </x:c>
      <x:c r="AC110" s="260">
        <x:f t="shared" si="150"/>
        <x:v>-603.28243757649204</x:v>
      </x:c>
      <x:c r="AD110" s="260"/>
      <x:c r="AE110" s="282">
        <x:f t="shared" si="39"/>
        <x:v>0</x:v>
      </x:c>
      <x:c r="AF110" s="282">
        <x:f t="shared" si="10"/>
        <x:v>767.69568182123351</x:v>
      </x:c>
      <x:c r="AJ110" s="272">
        <x:f t="shared" si="130"/>
        <x:v>326.21172422682622</x:v>
      </x:c>
      <x:c r="AK110" s="272">
        <x:f t="shared" si="131"/>
        <x:v>-98.713027848710908</x:v>
      </x:c>
      <x:c r="AL110" s="272">
        <x:f t="shared" si="132"/>
        <x:v>201.49064620447476</x:v>
      </x:c>
      <x:c r="AM110" s="272">
        <x:f t="shared" si="133"/>
        <x:v>-120.65648751529841</x:v>
      </x:c>
      <x:c r="AN110" s="272">
        <x:f t="shared" si="134"/>
        <x:v>-496.84576525926116</x:v>
      </x:c>
      <x:c r="AO110" s="272">
        <x:f t="shared" si="135"/>
        <x:v>-383.66383240239804</x:v>
      </x:c>
      <x:c r="AP110" s="272">
        <x:f t="shared" si="136"/>
        <x:v>-341.09194897103475</x:v>
      </x:c>
      <x:c r="AQ110" s="272">
        <x:f t="shared" si="137"/>
        <x:v>-581.98953212198796</x:v>
      </x:c>
      <x:c r="AR110" s="272"/>
      <x:c r="AS110" s="286">
        <x:f t="shared" si="32"/>
        <x:v>308.33285506729169</x:v>
      </x:c>
      <x:c r="AT110" s="286">
        <x:f t="shared" si="33"/>
        <x:v>-1803.5910787546818</x:v>
      </x:c>
      <x:c r="AY110" s="279">
        <x:f t="shared" si="138"/>
        <x:v>426.47524551476255</x:v>
      </x:c>
      <x:c r="AZ110" s="279">
        <x:f t="shared" si="139"/>
        <x:v>-426.47524551476255</x:v>
      </x:c>
      <x:c r="BA110" s="279">
        <x:f t="shared" si="140"/>
        <x:v>-351.5590625282681</x:v>
      </x:c>
      <x:c r="BB110" s="279">
        <x:f t="shared" si="141"/>
        <x:v>-351.5590625282681</x:v>
      </x:c>
      <x:c r="BC110" s="279"/>
      <x:c r="BD110" s="289">
        <x:f t="shared" si="151"/>
        <x:v>0</x:v>
      </x:c>
      <x:c r="BE110" s="289">
        <x:f t="shared" si="152"/>
        <x:v>-703.1181250565362</x:v>
      </x:c>
    </x:row>
    <x:row r="111" ht="15.75" customHeight="1">
      <x:c r="A111" s="21">
        <x:v>158</x:v>
      </x:c>
      <x:c r="B111" s="21">
        <x:f t="shared" si="19"/>
        <x:v>338</x:v>
      </x:c>
      <x:c r="C111" s="21">
        <x:f t="shared" si="0"/>
        <x:v>338</x:v>
      </x:c>
      <x:c r="D111" s="21">
        <x:f t="shared" si="20"/>
        <x:v>158</x:v>
      </x:c>
      <x:c r="E111" s="22" t="n">
        <x:f t="shared" ref="E111:H111" si="166">A111*PI()/180</x:f>
        <x:v>2.7576202181510405</x:v>
      </x:c>
      <x:c r="F111" s="22">
        <x:f t="shared" si="166"/>
        <x:v>5.8992128717408336</x:v>
      </x:c>
      <x:c r="G111" s="22">
        <x:f t="shared" si="166"/>
        <x:v>5.8992128717408336</x:v>
      </x:c>
      <x:c r="H111" s="22">
        <x:f t="shared" si="166"/>
        <x:v>2.7576202181510405</x:v>
      </x:c>
      <x:c r="I111" s="23"/>
      <x:c r="J111" s="23"/>
      <x:c r="K111" s="23"/>
      <x:c r="L111" s="249">
        <x:f t="shared" si="122"/>
        <x:v>512.28934740585476</x:v>
      </x:c>
      <x:c r="M111" s="249">
        <x:f t="shared" si="123"/>
        <x:v>-512.28934740585487</x:v>
      </x:c>
      <x:c r="N111" s="249">
        <x:f t="shared" si="124"/>
        <x:v>-512.28934740585487</x:v>
      </x:c>
      <x:c r="O111" s="249">
        <x:f t="shared" si="125"/>
        <x:v>512.28934740585476</x:v>
      </x:c>
      <x:c r="P111" s="249">
        <x:f t="shared" si="126"/>
        <x:v>-2932.7447267329535</x:v>
      </x:c>
      <x:c r="Q111" s="249">
        <x:f t="shared" si="127"/>
        <x:v>4011.0522527963576</x:v>
      </x:c>
      <x:c r="R111" s="249">
        <x:f t="shared" si="128"/>
        <x:v>4011.0522527963576</x:v>
      </x:c>
      <x:c r="S111" s="249">
        <x:f t="shared" si="129"/>
        <x:v>-2932.7447267329535</x:v>
      </x:c>
      <x:c r="T111" s="23"/>
      <x:c r="U111" s="23"/>
      <x:c r="V111" s="260">
        <x:f t="shared" si="143"/>
        <x:v>-2513.4581812796378</x:v>
      </x:c>
      <x:c r="W111" s="260">
        <x:f t="shared" si="144"/>
        <x:v>-3901.773726021187</x:v>
      </x:c>
      <x:c r="X111" s="260">
        <x:f t="shared" si="145"/>
        <x:v>3509.684434362498</x:v>
      </x:c>
      <x:c r="Y111" s="260">
        <x:f t="shared" si="146"/>
        <x:v>2905.5474729383268</x:v>
      </x:c>
      <x:c r="Z111" s="260">
        <x:f t="shared" si="147"/>
        <x:v>-1595.6064610686174</x:v>
      </x:c>
      <x:c r="AA111" s="260">
        <x:f t="shared" si="148"/>
        <x:v>1061.6696007040027</x:v>
      </x:c>
      <x:c r="AB111" s="260">
        <x:f t="shared" si="149"/>
        <x:v>2008.2568862876697</x:v>
      </x:c>
      <x:c r="AC111" s="260">
        <x:f t="shared" si="150"/>
        <x:v>-649.01917548495089</x:v>
      </x:c>
      <x:c r="AD111" s="260"/>
      <x:c r="AE111" s="282">
        <x:f t="shared" si="39"/>
        <x:v>0</x:v>
      </x:c>
      <x:c r="AF111" s="282">
        <x:f t="shared" si="10"/>
        <x:v>825.30085043810413</x:v>
      </x:c>
      <x:c r="AJ111" s="272">
        <x:f t="shared" si="130"/>
        <x:v>319.12129221372351</x:v>
      </x:c>
      <x:c r="AK111" s="272">
        <x:f t="shared" si="131"/>
        <x:v>-106.16696007040028</x:v>
      </x:c>
      <x:c r="AL111" s="272">
        <x:f t="shared" si="132"/>
        <x:v>200.82568862876698</x:v>
      </x:c>
      <x:c r="AM111" s="272">
        <x:f t="shared" si="133"/>
        <x:v>-129.80383509699018</x:v>
      </x:c>
      <x:c r="AN111" s="272">
        <x:f t="shared" si="134"/>
        <x:v>-502.69163625592756</x:v>
      </x:c>
      <x:c r="AO111" s="272">
        <x:f t="shared" si="135"/>
        <x:v>-390.17737260211874</x:v>
      </x:c>
      <x:c r="AP111" s="272">
        <x:f t="shared" si="136"/>
        <x:v>-350.9684434362498</x:v>
      </x:c>
      <x:c r="AQ111" s="272">
        <x:f t="shared" si="137"/>
        <x:v>-581.10949458766538</x:v>
      </x:c>
      <x:c r="AR111" s="272"/>
      <x:c r="AS111" s="286">
        <x:f t="shared" si="32"/>
        <x:v>283.97618567510006</x:v>
      </x:c>
      <x:c r="AT111" s="286">
        <x:f t="shared" si="33"/>
        <x:v>-1824.9469468819616</x:v>
      </x:c>
      <x:c r="AY111" s="279">
        <x:f t="shared" si="138"/>
        <x:v>400.91285273649669</x:v>
      </x:c>
      <x:c r="AZ111" s="279">
        <x:f t="shared" si="139"/>
        <x:v>-400.91285273649669</x:v>
      </x:c>
      <x:c r="BA111" s="279">
        <x:f t="shared" si="140"/>
        <x:v>-380.45209158751624</x:v>
      </x:c>
      <x:c r="BB111" s="279">
        <x:f t="shared" si="141"/>
        <x:v>-380.45209158751624</x:v>
      </x:c>
      <x:c r="BC111" s="279"/>
      <x:c r="BD111" s="289">
        <x:f t="shared" si="151"/>
        <x:v>0</x:v>
      </x:c>
      <x:c r="BE111" s="289">
        <x:f t="shared" si="152"/>
        <x:v>-760.90418317503247</x:v>
      </x:c>
    </x:row>
    <x:row r="112" ht="15.75" customHeight="1">
      <x:c r="A112" s="21">
        <x:v>160</x:v>
      </x:c>
      <x:c r="B112" s="21">
        <x:f t="shared" si="19"/>
        <x:v>340</x:v>
      </x:c>
      <x:c r="C112" s="21">
        <x:f t="shared" si="0"/>
        <x:v>340</x:v>
      </x:c>
      <x:c r="D112" s="21">
        <x:f t="shared" si="20"/>
        <x:v>160</x:v>
      </x:c>
      <x:c r="E112" s="22" t="n">
        <x:f t="shared" ref="E112:H112" si="167">A112*PI()/180</x:f>
        <x:v>2.792526803190927</x:v>
      </x:c>
      <x:c r="F112" s="22">
        <x:f t="shared" si="167"/>
        <x:v>5.9341194567807207</x:v>
      </x:c>
      <x:c r="G112" s="22">
        <x:f t="shared" si="167"/>
        <x:v>5.9341194567807207</x:v>
      </x:c>
      <x:c r="H112" s="22">
        <x:f t="shared" si="167"/>
        <x:v>2.7925268031909272</x:v>
      </x:c>
      <x:c r="I112" s="23"/>
      <x:c r="J112" s="23"/>
      <x:c r="K112" s="23"/>
      <x:c r="L112" s="249">
        <x:f t="shared" si="122"/>
        <x:v>467.72608678948376</x:v>
      </x:c>
      <x:c r="M112" s="249">
        <x:f t="shared" si="123"/>
        <x:v>-467.72608678948336</x:v>
      </x:c>
      <x:c r="N112" s="249">
        <x:f t="shared" si="124"/>
        <x:v>-467.72608678948336</x:v>
      </x:c>
      <x:c r="O112" s="249">
        <x:f t="shared" si="125"/>
        <x:v>467.72608678948376</x:v>
      </x:c>
      <x:c r="P112" s="249">
        <x:f t="shared" si="126"/>
        <x:v>-2944.5789046850628</x:v>
      </x:c>
      <x:c r="Q112" s="249">
        <x:f t="shared" si="127"/>
        <x:v>4092.8978047728442</x:v>
      </x:c>
      <x:c r="R112" s="249">
        <x:f t="shared" si="128"/>
        <x:v>4092.8978047728442</x:v>
      </x:c>
      <x:c r="S112" s="249">
        <x:f t="shared" si="129"/>
        <x:v>-2944.5789046850628</x:v>
      </x:c>
      <x:c r="T112" s="23"/>
      <x:c r="U112" s="23"/>
      <x:c r="V112" s="260">
        <x:f t="shared" si="143"/>
        <x:v>-2541.4451576037409</x:v>
      </x:c>
      <x:c r="W112" s="260">
        <x:f t="shared" si="144"/>
        <x:v>-3960.3355347892984</x:v>
      </x:c>
      <x:c r="X112" s="260">
        <x:f t="shared" si="145"/>
        <x:v>3602.3534861907156</x:v>
      </x:c>
      <x:c r="Y112" s="260">
        <x:f t="shared" si="146"/>
        <x:v>2899.4272062023238</x:v>
      </x:c>
      <x:c r="Z112" s="260">
        <x:f t="shared" si="147"/>
        <x:v>-1558.9641205211183</x:v>
      </x:c>
      <x:c r="AA112" s="260">
        <x:f t="shared" si="148"/>
        <x:v>1134.161621843612</x:v>
      </x:c>
      <x:c r="AB112" s="260">
        <x:f t="shared" si="149"/>
        <x:v>1998.4067386564147</x:v>
      </x:c>
      <x:c r="AC112" s="260">
        <x:f t="shared" si="150"/>
        <x:v>-694.71900370831463</x:v>
      </x:c>
      <x:c r="AD112" s="260"/>
      <x:c r="AE112" s="282">
        <x:f t="shared" si="39"/>
        <x:v>0</x:v>
      </x:c>
      <x:c r="AF112" s="282">
        <x:f t="shared" si="10"/>
        <x:v>878.88523627059385</x:v>
      </x:c>
      <x:c r="AJ112" s="272">
        <x:f t="shared" si="130"/>
        <x:v>311.79282410422366</x:v>
      </x:c>
      <x:c r="AK112" s="272">
        <x:f t="shared" si="131"/>
        <x:v>-113.41616218436121</x:v>
      </x:c>
      <x:c r="AL112" s="272">
        <x:f t="shared" si="132"/>
        <x:v>199.84067386564149</x:v>
      </x:c>
      <x:c r="AM112" s="272">
        <x:f t="shared" si="133"/>
        <x:v>-138.94380074166293</x:v>
      </x:c>
      <x:c r="AN112" s="272">
        <x:f t="shared" si="134"/>
        <x:v>-508.28903152074821</x:v>
      </x:c>
      <x:c r="AO112" s="272">
        <x:f t="shared" si="135"/>
        <x:v>-396.03355347892989</x:v>
      </x:c>
      <x:c r="AP112" s="272">
        <x:f t="shared" si="136"/>
        <x:v>-360.2353486190716</x:v>
      </x:c>
      <x:c r="AQ112" s="272">
        <x:f t="shared" si="137"/>
        <x:v>-579.88544124046473</x:v>
      </x:c>
      <x:c r="AR112" s="272"/>
      <x:c r="AS112" s="286">
        <x:f t="shared" si="32"/>
        <x:v>259.27353504384098</x:v>
      </x:c>
      <x:c r="AT112" s="286">
        <x:f t="shared" si="33"/>
        <x:v>-1844.4433748592146</x:v>
      </x:c>
      <x:c r="AY112" s="279">
        <x:f t="shared" si="138"/>
        <x:v>373.3972528393183</x:v>
      </x:c>
      <x:c r="AZ112" s="279">
        <x:f t="shared" si="139"/>
        <x:v>-373.3972528393183</x:v>
      </x:c>
      <x:c r="BA112" s="279">
        <x:f t="shared" si="140"/>
        <x:v>-407.49159629945979</x:v>
      </x:c>
      <x:c r="BB112" s="279">
        <x:f t="shared" si="141"/>
        <x:v>-407.49159629945979</x:v>
      </x:c>
      <x:c r="BC112" s="279"/>
      <x:c r="BD112" s="289">
        <x:f t="shared" si="151"/>
        <x:v>0</x:v>
      </x:c>
      <x:c r="BE112" s="289">
        <x:f t="shared" si="152"/>
        <x:v>-814.98319259891957</x:v>
      </x:c>
    </x:row>
    <x:row r="113" ht="15.75" customHeight="1">
      <x:c r="A113" s="21">
        <x:v>162</x:v>
      </x:c>
      <x:c r="B113" s="21">
        <x:f t="shared" si="19"/>
        <x:v>342</x:v>
      </x:c>
      <x:c r="C113" s="21">
        <x:f t="shared" si="0"/>
        <x:v>342</x:v>
      </x:c>
      <x:c r="D113" s="21">
        <x:f t="shared" si="20"/>
        <x:v>162</x:v>
      </x:c>
      <x:c r="E113" s="22" t="n">
        <x:f t="shared" ref="E113:H113" si="168">A113*PI()/180</x:f>
        <x:v>2.827433388230814</x:v>
      </x:c>
      <x:c r="F113" s="22">
        <x:f t="shared" si="168"/>
        <x:v>5.9690260418206069</x:v>
      </x:c>
      <x:c r="G113" s="22">
        <x:f t="shared" si="168"/>
        <x:v>5.9690260418206069</x:v>
      </x:c>
      <x:c r="H113" s="22">
        <x:f t="shared" si="168"/>
        <x:v>2.8274333882308138</x:v>
      </x:c>
      <x:c r="I113" s="23"/>
      <x:c r="J113" s="23"/>
      <x:c r="K113" s="23"/>
      <x:c r="L113" s="249">
        <x:f t="shared" si="122"/>
        <x:v>422.59297398404027</x:v>
      </x:c>
      <x:c r="M113" s="249">
        <x:f t="shared" si="123"/>
        <x:v>-422.59297398404038</x:v>
      </x:c>
      <x:c r="N113" s="249">
        <x:f t="shared" si="124"/>
        <x:v>-422.59297398404038</x:v>
      </x:c>
      <x:c r="O113" s="249">
        <x:f t="shared" si="125"/>
        <x:v>422.59297398404027</x:v>
      </x:c>
      <x:c r="P113" s="249">
        <x:f t="shared" si="126"/>
        <x:v>-2954.9232890983358</x:v>
      </x:c>
      <x:c r="Q113" s="249">
        <x:f t="shared" si="127"/>
        <x:v>4167.659068957877</x:v>
      </x:c>
      <x:c r="R113" s="249">
        <x:f t="shared" si="128"/>
        <x:v>4167.659068957877</x:v>
      </x:c>
      <x:c r="S113" s="249">
        <x:f t="shared" si="129"/>
        <x:v>-2954.9232890983358</x:v>
      </x:c>
      <x:c r="T113" s="23"/>
      <x:c r="U113" s="23"/>
      <x:c r="V113" s="260">
        <x:f t="shared" si="143"/>
        <x:v>-2568.2738171613009</x:v>
      </x:c>
      <x:c r="W113" s="260">
        <x:f t="shared" si="144"/>
        <x:v>-4012.134242072812</x:v>
      </x:c>
      <x:c r="X113" s="260">
        <x:f t="shared" si="145"/>
        <x:v>3688.6955825176442</x:v>
      </x:c>
      <x:c r="Y113" s="260">
        <x:f t="shared" si="146"/>
        <x:v>2891.7124767164678</x:v>
      </x:c>
      <x:c r="Z113" s="260">
        <x:f t="shared" si="147"/>
        <x:v>-1521.2251858946213</x:v>
      </x:c>
      <x:c r="AA113" s="260">
        <x:f t="shared" si="148"/>
        <x:v>1204.4690781893655</x:v>
      </x:c>
      <x:c r="AB113" s="260">
        <x:f t="shared" si="149"/>
        <x:v>1985.3190766832245</x:v>
      </x:c>
      <x:c r="AC113" s="260">
        <x:f t="shared" si="150"/>
        <x:v>-740.37518740076234</x:v>
      </x:c>
      <x:c r="AD113" s="260"/>
      <x:c r="AE113" s="282">
        <x:f t="shared" si="39"/>
        <x:v>0</x:v>
      </x:c>
      <x:c r="AF113" s="282">
        <x:f t="shared" si="10"/>
        <x:v>928.18778157720635</x:v>
      </x:c>
      <x:c r="AJ113" s="272">
        <x:f t="shared" si="130"/>
        <x:v>304.24503717892429</x:v>
      </x:c>
      <x:c r="AK113" s="272">
        <x:f t="shared" si="131"/>
        <x:v>-120.44690781893655</x:v>
      </x:c>
      <x:c r="AL113" s="272">
        <x:f t="shared" si="132"/>
        <x:v>198.53190766832245</x:v>
      </x:c>
      <x:c r="AM113" s="272">
        <x:f t="shared" si="133"/>
        <x:v>-148.07503748015247</x:v>
      </x:c>
      <x:c r="AN113" s="272">
        <x:f t="shared" si="134"/>
        <x:v>-513.65476343226021</x:v>
      </x:c>
      <x:c r="AO113" s="272">
        <x:f t="shared" si="135"/>
        <x:v>-401.21342420728121</x:v>
      </x:c>
      <x:c r="AP113" s="272">
        <x:f t="shared" si="136"/>
        <x:v>-368.86955825176443</x:v>
      </x:c>
      <x:c r="AQ113" s="272">
        <x:f t="shared" si="137"/>
        <x:v>-578.34249534329354</x:v>
      </x:c>
      <x:c r="AR113" s="272"/>
      <x:c r="AS113" s="286">
        <x:f t="shared" si="32"/>
        <x:v>234.25499954815771</x:v>
      </x:c>
      <x:c r="AT113" s="286">
        <x:f t="shared" si="33"/>
        <x:v>-1862.0802412345993</x:v>
      </x:c>
      <x:c r="AY113" s="279">
        <x:f t="shared" si="138"/>
        <x:v>344.06249906006656</x:v>
      </x:c>
      <x:c r="AZ113" s="279">
        <x:f t="shared" si="139"/>
        <x:v>-344.06249906006656</x:v>
      </x:c>
      <x:c r="BA113" s="279">
        <x:f t="shared" si="140"/>
        <x:v>-432.5458429151451</x:v>
      </x:c>
      <x:c r="BB113" s="279">
        <x:f t="shared" si="141"/>
        <x:v>-432.5458429151451</x:v>
      </x:c>
      <x:c r="BC113" s="279"/>
      <x:c r="BD113" s="289">
        <x:f t="shared" si="151"/>
        <x:v>0</x:v>
      </x:c>
      <x:c r="BE113" s="289">
        <x:f t="shared" si="152"/>
        <x:v>-865.0916858302902</x:v>
      </x:c>
    </x:row>
    <x:row r="114" ht="15.75" customHeight="1">
      <x:c r="A114" s="21">
        <x:v>164</x:v>
      </x:c>
      <x:c r="B114" s="21">
        <x:f t="shared" si="19"/>
        <x:v>344</x:v>
      </x:c>
      <x:c r="C114" s="21">
        <x:f t="shared" si="0"/>
        <x:v>344</x:v>
      </x:c>
      <x:c r="D114" s="21">
        <x:f t="shared" si="20"/>
        <x:v>164</x:v>
      </x:c>
      <x:c r="E114" s="22" t="n">
        <x:f t="shared" ref="E114:H114" si="169">A114*PI()/180</x:f>
        <x:v>2.8623399732707</x:v>
      </x:c>
      <x:c r="F114" s="22">
        <x:f t="shared" si="169"/>
        <x:v>6.0039326268604931</x:v>
      </x:c>
      <x:c r="G114" s="22">
        <x:f t="shared" si="169"/>
        <x:v>6.0039326268604931</x:v>
      </x:c>
      <x:c r="H114" s="22">
        <x:f t="shared" si="169"/>
        <x:v>2.8623399732707</x:v>
      </x:c>
      <x:c r="I114" s="23"/>
      <x:c r="J114" s="23"/>
      <x:c r="K114" s="23"/>
      <x:c r="L114" s="249">
        <x:f t="shared" si="122"/>
        <x:v>376.94499673525524</x:v>
      </x:c>
      <x:c r="M114" s="249">
        <x:f t="shared" si="123"/>
        <x:v>-376.94499673525542</x:v>
      </x:c>
      <x:c r="N114" s="249">
        <x:f t="shared" si="124"/>
        <x:v>-376.94499673525542</x:v>
      </x:c>
      <x:c r="O114" s="249">
        <x:f t="shared" si="125"/>
        <x:v>376.94499673525524</x:v>
      </x:c>
      <x:c r="P114" s="249">
        <x:f t="shared" si="126"/>
        <x:v>-2963.882952192665</x:v>
      </x:c>
      <x:c r="Q114" s="249">
        <x:f t="shared" si="127"/>
        <x:v>4235.1272850082651</x:v>
      </x:c>
      <x:c r="R114" s="249">
        <x:f t="shared" si="128"/>
        <x:v>4235.1272850082651</x:v>
      </x:c>
      <x:c r="S114" s="249">
        <x:f t="shared" si="129"/>
        <x:v>-2963.882952192665</x:v>
      </x:c>
      <x:c r="T114" s="23"/>
      <x:c r="U114" s="23"/>
      <x:c r="V114" s="260">
        <x:f t="shared" si="143"/>
        <x:v>-2594.0201911264367</x:v>
      </x:c>
      <x:c r="W114" s="260">
        <x:f t="shared" si="144"/>
        <x:v>-4056.9980213627259</x:v>
      </x:c>
      <x:c r="X114" s="260">
        <x:f t="shared" si="145"/>
        <x:v>3768.4968110357358</x:v>
      </x:c>
      <x:c r="Y114" s="260">
        <x:f t="shared" si="146"/>
        <x:v>2882.5214014534267</x:v>
      </x:c>
      <x:c r="Z114" s="260">
        <x:f t="shared" si="147"/>
        <x:v>-1482.4806686397005</x:v>
      </x:c>
      <x:c r="AA114" s="260">
        <x:f t="shared" si="148"/>
        <x:v>1272.4612785637707</x:v>
      </x:c>
      <x:c r="AB114" s="260">
        <x:f t="shared" si="149"/>
        <x:v>1968.9648132962432</x:v>
      </x:c>
      <x:c r="AC114" s="260">
        <x:f t="shared" si="150"/>
        <x:v>-785.97713390722845</x:v>
      </x:c>
      <x:c r="AD114" s="260"/>
      <x:c r="AE114" s="282">
        <x:f t="shared" si="39"/>
        <x:v>0</x:v>
      </x:c>
      <x:c r="AF114" s="282">
        <x:f t="shared" si="10"/>
        <x:v>972.96828931308494</x:v>
      </x:c>
      <x:c r="AJ114" s="272">
        <x:f t="shared" si="130"/>
        <x:v>296.49613372794011</x:v>
      </x:c>
      <x:c r="AK114" s="272">
        <x:f t="shared" si="131"/>
        <x:v>-127.24612785637709</x:v>
      </x:c>
      <x:c r="AL114" s="272">
        <x:f t="shared" si="132"/>
        <x:v>196.89648132962432</x:v>
      </x:c>
      <x:c r="AM114" s="272">
        <x:f t="shared" si="133"/>
        <x:v>-157.19542678144569</x:v>
      </x:c>
      <x:c r="AN114" s="272">
        <x:f t="shared" si="134"/>
        <x:v>-518.8040382252874</x:v>
      </x:c>
      <x:c r="AO114" s="272">
        <x:f t="shared" si="135"/>
        <x:v>-405.69980213627264</x:v>
      </x:c>
      <x:c r="AP114" s="272">
        <x:f t="shared" si="136"/>
        <x:v>-376.84968110357363</x:v>
      </x:c>
      <x:c r="AQ114" s="272">
        <x:f t="shared" si="137"/>
        <x:v>-576.50428029068541</x:v>
      </x:c>
      <x:c r="AR114" s="272"/>
      <x:c r="AS114" s="286">
        <x:f t="shared" si="32"/>
        <x:v>208.95106041974168</x:v>
      </x:c>
      <x:c r="AT114" s="286">
        <x:f t="shared" si="33"/>
        <x:v>-1877.8578017558193</x:v>
      </x:c>
      <x:c r="AY114" s="279">
        <x:f t="shared" si="138"/>
        <x:v>313.05150737043647</x:v>
      </x:c>
      <x:c r="AZ114" s="279">
        <x:f t="shared" si="139"/>
        <x:v>-313.05150737043647</x:v>
      </x:c>
      <x:c r="BA114" s="279">
        <x:f t="shared" si="140"/>
        <x:v>-455.49276966350328</x:v>
      </x:c>
      <x:c r="BB114" s="279">
        <x:f t="shared" si="141"/>
        <x:v>-455.49276966350328</x:v>
      </x:c>
      <x:c r="BC114" s="279"/>
      <x:c r="BD114" s="289">
        <x:f t="shared" si="151"/>
        <x:v>0</x:v>
      </x:c>
      <x:c r="BE114" s="289">
        <x:f t="shared" si="152"/>
        <x:v>-910.98553932700656</x:v>
      </x:c>
    </x:row>
    <x:row r="115" ht="15.75" customHeight="1">
      <x:c r="A115" s="21">
        <x:v>166</x:v>
      </x:c>
      <x:c r="B115" s="21">
        <x:f t="shared" si="19"/>
        <x:v>346</x:v>
      </x:c>
      <x:c r="C115" s="21">
        <x:f t="shared" si="0"/>
        <x:v>346</x:v>
      </x:c>
      <x:c r="D115" s="21">
        <x:f t="shared" si="20"/>
        <x:v>166</x:v>
      </x:c>
      <x:c r="E115" s="22" t="n">
        <x:f t="shared" ref="E115:H115" si="170">A115*PI()/180</x:f>
        <x:v>2.897246558310587</x:v>
      </x:c>
      <x:c r="F115" s="22">
        <x:f t="shared" si="170"/>
        <x:v>6.0388392119003802</x:v>
      </x:c>
      <x:c r="G115" s="22">
        <x:f t="shared" si="170"/>
        <x:v>6.0388392119003802</x:v>
      </x:c>
      <x:c r="H115" s="22">
        <x:f t="shared" si="170"/>
        <x:v>2.8972465583105871</x:v>
      </x:c>
      <x:c r="I115" s="23"/>
      <x:c r="J115" s="23"/>
      <x:c r="K115" s="23"/>
      <x:c r="L115" s="249">
        <x:f t="shared" si="122"/>
        <x:v>330.8377700718728</x:v>
      </x:c>
      <x:c r="M115" s="249">
        <x:f t="shared" si="123"/>
        <x:v>-330.83777007187297</x:v>
      </x:c>
      <x:c r="N115" s="249">
        <x:f t="shared" si="124"/>
        <x:v>-330.83777007187297</x:v>
      </x:c>
      <x:c r="O115" s="249">
        <x:f t="shared" si="125"/>
        <x:v>330.8377700718728</x:v>
      </x:c>
      <x:c r="P115" s="249">
        <x:f t="shared" si="126"/>
        <x:v>-2971.5538600634613</x:v>
      </x:c>
      <x:c r="Q115" s="249">
        <x:f t="shared" si="127"/>
        <x:v>4295.1133712306773</x:v>
      </x:c>
      <x:c r="R115" s="249">
        <x:f t="shared" si="128"/>
        <x:v>4295.1133712306773</x:v>
      </x:c>
      <x:c r="S115" s="249">
        <x:f t="shared" si="129"/>
        <x:v>-2971.5538600634613</x:v>
      </x:c>
      <x:c r="T115" s="23"/>
      <x:c r="U115" s="23"/>
      <x:c r="V115" s="260">
        <x:f t="shared" si="143"/>
        <x:v>-2618.7516576604235</x:v>
      </x:c>
      <x:c r="W115" s="260">
        <x:f t="shared" si="144"/>
        <x:v>-4094.7734669026918</x:v>
      </x:c>
      <x:c r="X115" s="260">
        <x:f t="shared" si="145"/>
        <x:v>3841.561200088458</x:v>
      </x:c>
      <x:c r="Y115" s="260">
        <x:f t="shared" si="146"/>
        <x:v>2871.9639244746572</x:v>
      </x:c>
      <x:c r="Z115" s="260">
        <x:f t="shared" si="147"/>
        <x:v>-1442.8186749778956</x:v>
      </x:c>
      <x:c r="AA115" s="260">
        <x:f t="shared" si="148"/>
        <x:v>1338.0144829486694</x:v>
      </x:c>
      <x:c r="AB115" s="260">
        <x:f t="shared" si="149"/>
        <x:v>1949.3229716508263</x:v>
      </x:c>
      <x:c r="AC115" s="260">
        <x:f t="shared" si="150"/>
        <x:v>-831.51018627573876</x:v>
      </x:c>
      <x:c r="AD115" s="260"/>
      <x:c r="AE115" s="282">
        <x:f t="shared" si="39"/>
        <x:v>0</x:v>
      </x:c>
      <x:c r="AF115" s="282">
        <x:f t="shared" si="10"/>
        <x:v>1013.0085933458613</x:v>
      </x:c>
      <x:c r="AJ115" s="272">
        <x:f t="shared" si="130"/>
        <x:v>288.56373499557913</x:v>
      </x:c>
      <x:c r="AK115" s="272">
        <x:f t="shared" si="131"/>
        <x:v>-133.80144829486696</x:v>
      </x:c>
      <x:c r="AL115" s="272">
        <x:f t="shared" si="132"/>
        <x:v>194.93229716508264</x:v>
      </x:c>
      <x:c r="AM115" s="272">
        <x:f t="shared" si="133"/>
        <x:v>-166.30203725514775</x:v>
      </x:c>
      <x:c r="AN115" s="272">
        <x:f t="shared" si="134"/>
        <x:v>-523.75033153208472</x:v>
      </x:c>
      <x:c r="AO115" s="272">
        <x:f t="shared" si="135"/>
        <x:v>-409.4773466902692</x:v>
      </x:c>
      <x:c r="AP115" s="272">
        <x:f t="shared" si="136"/>
        <x:v>-384.15612000884585</x:v>
      </x:c>
      <x:c r="AQ115" s="272">
        <x:f t="shared" si="137"/>
        <x:v>-574.39278489493142</x:v>
      </x:c>
      <x:c r="AR115" s="272"/>
      <x:c r="AS115" s="286">
        <x:f t="shared" si="32"/>
        <x:v>183.39254661064706</x:v>
      </x:c>
      <x:c r="AT115" s="286">
        <x:f t="shared" si="33"/>
        <x:v>-1891.7765831261313</x:v>
      </x:c>
      <x:c r="AY115" s="279">
        <x:f t="shared" si="138"/>
        <x:v>280.51536020472508</x:v>
      </x:c>
      <x:c r="AZ115" s="279">
        <x:f t="shared" si="139"/>
        <x:v>-280.51536020472508</x:v>
      </x:c>
      <x:c r="BA115" s="279">
        <x:f t="shared" si="140"/>
        <x:v>-476.22058142403404</x:v>
      </x:c>
      <x:c r="BB115" s="279">
        <x:f t="shared" si="141"/>
        <x:v>-476.22058142403404</x:v>
      </x:c>
      <x:c r="BC115" s="279"/>
      <x:c r="BD115" s="289">
        <x:f t="shared" si="151"/>
        <x:v>0</x:v>
      </x:c>
      <x:c r="BE115" s="289">
        <x:f t="shared" si="152"/>
        <x:v>-952.44116284806807</x:v>
      </x:c>
    </x:row>
    <x:row r="116" ht="15.75" customHeight="1">
      <x:c r="A116" s="21">
        <x:v>168</x:v>
      </x:c>
      <x:c r="B116" s="21">
        <x:f t="shared" si="19"/>
        <x:v>348</x:v>
      </x:c>
      <x:c r="C116" s="21">
        <x:f t="shared" si="0"/>
        <x:v>348</x:v>
      </x:c>
      <x:c r="D116" s="21">
        <x:f t="shared" si="20"/>
        <x:v>168</x:v>
      </x:c>
      <x:c r="E116" s="22" t="n">
        <x:f t="shared" ref="E116:H116" si="171">A116*PI()/180</x:f>
        <x:v>2.9321531433504737</x:v>
      </x:c>
      <x:c r="F116" s="22">
        <x:f t="shared" si="171"/>
        <x:v>6.0737457969402664</x:v>
      </x:c>
      <x:c r="G116" s="22">
        <x:f t="shared" si="171"/>
        <x:v>6.0737457969402664</x:v>
      </x:c>
      <x:c r="H116" s="22">
        <x:f t="shared" si="171"/>
        <x:v>2.9321531433504737</x:v>
      </x:c>
      <x:c r="I116" s="23"/>
      <x:c r="J116" s="23"/>
      <x:c r="K116" s="23"/>
      <x:c r="L116" s="249">
        <x:f t="shared" si="122"/>
        <x:v>284.32746854731005</x:v>
      </x:c>
      <x:c r="M116" s="249">
        <x:f t="shared" si="123"/>
        <x:v>-284.32746854731084</x:v>
      </x:c>
      <x:c r="N116" s="249">
        <x:f t="shared" si="124"/>
        <x:v>-284.32746854731084</x:v>
      </x:c>
      <x:c r="O116" s="249">
        <x:f t="shared" si="125"/>
        <x:v>284.32746854731005</x:v>
      </x:c>
      <x:c r="P116" s="249">
        <x:f t="shared" si="126"/>
        <x:v>-2978.0222350430654</x:v>
      </x:c>
      <x:c r="Q116" s="249">
        <x:f t="shared" si="127"/>
        <x:v>4347.4486756672268</x:v>
      </x:c>
      <x:c r="R116" s="249">
        <x:f t="shared" si="128"/>
        <x:v>4347.4486756672268</x:v>
      </x:c>
      <x:c r="S116" s="249">
        <x:f t="shared" si="129"/>
        <x:v>-2978.0222350430654</x:v>
      </x:c>
      <x:c r="T116" s="23"/>
      <x:c r="U116" s="23"/>
      <x:c r="V116" s="260">
        <x:f t="shared" si="143"/>
        <x:v>-2642.5263787404429</x:v>
      </x:c>
      <x:c r="W116" s="260">
        <x:f t="shared" si="144"/>
        <x:v>-4125.326261671612</x:v>
      </x:c>
      <x:c r="X116" s="260">
        <x:f t="shared" si="145"/>
        <x:v>3907.711438512888</x:v>
      </x:c>
      <x:c r="Y116" s="260">
        <x:f t="shared" si="146"/>
        <x:v>2860.1412018991659</x:v>
      </x:c>
      <x:c r="Z116" s="260">
        <x:f t="shared" si="147"/>
        <x:v>-1402.324099287443</x:v>
      </x:c>
      <x:c r="AA116" s="260">
        <x:f t="shared" si="148"/>
        <x:v>1401.0122525137913</x:v>
      </x:c>
      <x:c r="AB116" s="260">
        <x:f t="shared" si="149"/>
        <x:v>1926.3809099570058</x:v>
      </x:c>
      <x:c r="AC116" s="260">
        <x:f t="shared" si="150"/>
        <x:v>-876.95544184423034</x:v>
      </x:c>
      <x:c r="AD116" s="260"/>
      <x:c r="AE116" s="282">
        <x:f t="shared" si="39"/>
        <x:v>0</x:v>
      </x:c>
      <x:c r="AF116" s="282">
        <x:f t="shared" si="10"/>
        <x:v>1048.1136213391237</x:v>
      </x:c>
      <x:c r="AJ116" s="272">
        <x:f t="shared" si="130"/>
        <x:v>280.46481985748864</x:v>
      </x:c>
      <x:c r="AK116" s="272">
        <x:f t="shared" si="131"/>
        <x:v>-140.10122525137913</x:v>
      </x:c>
      <x:c r="AL116" s="272">
        <x:f t="shared" si="132"/>
        <x:v>192.63809099570059</x:v>
      </x:c>
      <x:c r="AM116" s="272">
        <x:f t="shared" si="133"/>
        <x:v>-175.39108836884608</x:v>
      </x:c>
      <x:c r="AN116" s="272">
        <x:f t="shared" si="134"/>
        <x:v>-528.50527574808859</x:v>
      </x:c>
      <x:c r="AO116" s="272">
        <x:f t="shared" si="135"/>
        <x:v>-412.5326261671612</x:v>
      </x:c>
      <x:c r="AP116" s="272">
        <x:f t="shared" si="136"/>
        <x:v>-390.7711438512888</x:v>
      </x:c>
      <x:c r="AQ116" s="272">
        <x:f t="shared" si="137"/>
        <x:v>-572.02824037983316</x:v>
      </x:c>
      <x:c r="AR116" s="272"/>
      <x:c r="AS116" s="286">
        <x:f t="shared" si="32"/>
        <x:v>157.61059723296401</x:v>
      </x:c>
      <x:c r="AT116" s="286">
        <x:f t="shared" si="33"/>
        <x:v>-1903.8372861463718</x:v>
      </x:c>
      <x:c r="AY116" s="279">
        <x:f t="shared" si="138"/>
        <x:v>246.61257040140094</x:v>
      </x:c>
      <x:c r="AZ116" s="279">
        <x:f t="shared" si="139"/>
        <x:v>-246.61257040140094</x:v>
      </x:c>
      <x:c r="BA116" s="279">
        <x:f t="shared" si="140"/>
        <x:v>-494.62829438139283</x:v>
      </x:c>
      <x:c r="BB116" s="279">
        <x:f t="shared" si="141"/>
        <x:v>-494.62829438139283</x:v>
      </x:c>
      <x:c r="BC116" s="279"/>
      <x:c r="BD116" s="289">
        <x:f t="shared" si="151"/>
        <x:v>0</x:v>
      </x:c>
      <x:c r="BE116" s="289">
        <x:f t="shared" si="152"/>
        <x:v>-989.25658876278567</x:v>
      </x:c>
    </x:row>
    <x:row r="117" ht="15.75" customHeight="1">
      <x:c r="A117" s="21">
        <x:v>170</x:v>
      </x:c>
      <x:c r="B117" s="21">
        <x:f t="shared" si="19"/>
        <x:v>350</x:v>
      </x:c>
      <x:c r="C117" s="21">
        <x:f t="shared" si="0"/>
        <x:v>350</x:v>
      </x:c>
      <x:c r="D117" s="21">
        <x:f t="shared" si="20"/>
        <x:v>170</x:v>
      </x:c>
      <x:c r="E117" s="22" t="n">
        <x:f t="shared" ref="E117:H117" si="172">A117*PI()/180</x:f>
        <x:v>2.9670597283903604</x:v>
      </x:c>
      <x:c r="F117" s="22">
        <x:f t="shared" si="172"/>
        <x:v>6.1086523819801526</x:v>
      </x:c>
      <x:c r="G117" s="22">
        <x:f t="shared" si="172"/>
        <x:v>6.1086523819801526</x:v>
      </x:c>
      <x:c r="H117" s="22">
        <x:f t="shared" si="172"/>
        <x:v>2.9670597283903604</x:v>
      </x:c>
      <x:c r="I117" s="23"/>
      <x:c r="J117" s="23"/>
      <x:c r="K117" s="23"/>
      <x:c r="L117" s="249">
        <x:f t="shared" si="122"/>
        <x:v>237.47075779961148</x:v>
      </x:c>
      <x:c r="M117" s="249">
        <x:f t="shared" si="123"/>
        <x:v>-237.47075779961284</x:v>
      </x:c>
      <x:c r="N117" s="249">
        <x:f t="shared" si="124"/>
        <x:v>-237.47075779961284</x:v>
      </x:c>
      <x:c r="O117" s="249">
        <x:f t="shared" si="125"/>
        <x:v>237.47075779961148</x:v>
      </x:c>
      <x:c r="P117" s="249">
        <x:f t="shared" si="126"/>
        <x:v>-2983.3639850536924</x:v>
      </x:c>
      <x:c r="Q117" s="249">
        <x:f t="shared" si="127"/>
        <x:v>4391.9856471703424</x:v>
      </x:c>
      <x:c r="R117" s="249">
        <x:f t="shared" si="128"/>
        <x:v>4391.9856471703424</x:v>
      </x:c>
      <x:c r="S117" s="249">
        <x:f t="shared" si="129"/>
        <x:v>-2983.3639850536924</x:v>
      </x:c>
      <x:c r="T117" s="23"/>
      <x:c r="U117" s="23"/>
      <x:c r="V117" s="260">
        <x:f t="shared" si="143"/>
        <x:v>-2665.3927991413207</x:v>
      </x:c>
      <x:c r="W117" s="260">
        <x:f t="shared" si="144"/>
        <x:v>-4148.5417711851114</x:v>
      </x:c>
      <x:c r="X117" s="260">
        <x:f t="shared" si="145"/>
        <x:v>3966.7895218229223</x:v>
      </x:c>
      <x:c r="Y117" s="260">
        <x:f t="shared" si="146"/>
        <x:v>2847.1450485035089</x:v>
      </x:c>
      <x:c r="Z117" s="260">
        <x:f t="shared" si="147"/>
        <x:v>-1361.0783424957456</x:v>
      </x:c>
      <x:c r="AA117" s="260">
        <x:f t="shared" si="148"/>
        <x:v>1461.3457696563496</x:v>
      </x:c>
      <x:c r="AB117" s="260">
        <x:f t="shared" si="149"/>
        <x:v>1900.1345150583643</x:v>
      </x:c>
      <x:c r="AC117" s="260">
        <x:f t="shared" si="150"/>
        <x:v>-922.28959709373351</x:v>
      </x:c>
      <x:c r="AD117" s="260"/>
      <x:c r="AE117" s="282">
        <x:f t="shared" si="39"/>
        <x:v>0</x:v>
      </x:c>
      <x:c r="AF117" s="282">
        <x:f t="shared" si="10"/>
        <x:v>1078.1123451252347</x:v>
      </x:c>
      <x:c r="AJ117" s="272">
        <x:f t="shared" si="130"/>
        <x:v>272.2156684991491</x:v>
      </x:c>
      <x:c r="AK117" s="272">
        <x:f t="shared" si="131"/>
        <x:v>-146.13457696563498</x:v>
      </x:c>
      <x:c r="AL117" s="272">
        <x:f t="shared" si="132"/>
        <x:v>190.01345150583643</x:v>
      </x:c>
      <x:c r="AM117" s="272">
        <x:f t="shared" si="133"/>
        <x:v>-184.45791941874671</x:v>
      </x:c>
      <x:c r="AN117" s="272">
        <x:f t="shared" si="134"/>
        <x:v>-533.07855982826413</x:v>
      </x:c>
      <x:c r="AO117" s="272">
        <x:f t="shared" si="135"/>
        <x:v>-414.85417711851119</x:v>
      </x:c>
      <x:c r="AP117" s="272">
        <x:f t="shared" si="136"/>
        <x:v>-396.67895218229228</x:v>
      </x:c>
      <x:c r="AQ117" s="272">
        <x:f t="shared" si="137"/>
        <x:v>-569.42900970070184</x:v>
      </x:c>
      <x:c r="AR117" s="272"/>
      <x:c r="AS117" s="286">
        <x:f t="shared" si="32"/>
        <x:v>131.63662362060387</x:v>
      </x:c>
      <x:c r="AT117" s="286">
        <x:f t="shared" si="33"/>
        <x:v>-1914.0406988297696</x:v>
      </x:c>
      <x:c r="AY117" s="279">
        <x:f t="shared" si="138"/>
        <x:v>211.50830894449086</x:v>
      </x:c>
      <x:c r="AZ117" s="279">
        <x:f t="shared" si="139"/>
        <x:v>-211.50830894449086</x:v>
      </x:c>
      <x:c r="BA117" s="279">
        <x:f t="shared" si="140"/>
        <x:v>-510.62622800838727</x:v>
      </x:c>
      <x:c r="BB117" s="279">
        <x:f t="shared" si="141"/>
        <x:v>-510.62622800838727</x:v>
      </x:c>
      <x:c r="BC117" s="279"/>
      <x:c r="BD117" s="289">
        <x:f t="shared" si="151"/>
        <x:v>0</x:v>
      </x:c>
      <x:c r="BE117" s="289">
        <x:f t="shared" si="152"/>
        <x:v>-1021.2524560167745</x:v>
      </x:c>
    </x:row>
    <x:row r="118" ht="15.75" customHeight="1">
      <x:c r="A118" s="21">
        <x:v>172</x:v>
      </x:c>
      <x:c r="B118" s="21">
        <x:f t="shared" si="19"/>
        <x:v>352</x:v>
      </x:c>
      <x:c r="C118" s="21">
        <x:f t="shared" si="0"/>
        <x:v>352</x:v>
      </x:c>
      <x:c r="D118" s="21">
        <x:f t="shared" si="20"/>
        <x:v>172</x:v>
      </x:c>
      <x:c r="E118" s="22" t="n">
        <x:f t="shared" ref="E118:H118" si="173">A118*PI()/180</x:f>
        <x:v>3.0019663134302466</x:v>
      </x:c>
      <x:c r="F118" s="22">
        <x:f t="shared" si="173"/>
        <x:v>6.1435589670200397</x:v>
      </x:c>
      <x:c r="G118" s="22">
        <x:f t="shared" si="173"/>
        <x:v>6.1435589670200397</x:v>
      </x:c>
      <x:c r="H118" s="22">
        <x:f t="shared" si="173"/>
        <x:v>3.0019663134302466</x:v>
      </x:c>
      <x:c r="I118" s="23"/>
      <x:c r="J118" s="23"/>
      <x:c r="K118" s="23"/>
      <x:c r="L118" s="249">
        <x:f t="shared" si="122"/>
        <x:v>190.3247255131007</x:v>
      </x:c>
      <x:c r="M118" s="249">
        <x:f t="shared" si="123"/>
        <x:v>-190.3247255131009</x:v>
      </x:c>
      <x:c r="N118" s="249">
        <x:f t="shared" si="124"/>
        <x:v>-190.3247255131009</x:v>
      </x:c>
      <x:c r="O118" s="249">
        <x:f t="shared" si="125"/>
        <x:v>190.3247255131007</x:v>
      </x:c>
      <x:c r="P118" s="249">
        <x:f t="shared" si="126"/>
        <x:v>-2987.6442029154855</x:v>
      </x:c>
      <x:c r="Q118" s="249">
        <x:f t="shared" si="127"/>
        <x:v>4428.5984233809468</x:v>
      </x:c>
      <x:c r="R118" s="249">
        <x:f t="shared" si="128"/>
        <x:v>4428.5984233809468</x:v>
      </x:c>
      <x:c r="S118" s="249">
        <x:f t="shared" si="129"/>
        <x:v>-2987.6442029154855</x:v>
      </x:c>
      <x:c r="T118" s="23"/>
      <x:c r="U118" s="23"/>
      <x:c r="V118" s="260">
        <x:f t="shared" si="143"/>
        <x:v>-2687.3892102763175</x:v>
      </x:c>
      <x:c r="W118" s="260">
        <x:f t="shared" si="144"/>
        <x:v>-4164.3255602967074</x:v>
      </x:c>
      <x:c r="X118" s="260">
        <x:f t="shared" si="145"/>
        <x:v>4018.6573218501135</x:v>
      </x:c>
      <x:c r="Y118" s="260">
        <x:f t="shared" si="146"/>
        <x:v>2833.0574487229114</x:v>
      </x:c>
      <x:c r="Z118" s="260">
        <x:f t="shared" si="147"/>
        <x:v>-1319.1590566897435</x:v>
      </x:c>
      <x:c r="AA118" s="260">
        <x:f t="shared" si="148"/>
        <x:v>1518.9141267936634</x:v>
      </x:c>
      <x:c r="AB118" s="260">
        <x:f t="shared" si="149"/>
        <x:v>1870.5883636584285</x:v>
      </x:c>
      <x:c r="AC118" s="260">
        <x:f t="shared" si="150"/>
        <x:v>-967.48481982497844</x:v>
      </x:c>
      <x:c r="AD118" s="260"/>
      <x:c r="AE118" s="282">
        <x:f t="shared" si="39"/>
        <x:v>0</x:v>
      </x:c>
      <x:c r="AF118" s="282">
        <x:f t="shared" si="10"/>
        <x:v>1102.8586139373701</x:v>
      </x:c>
      <x:c r="AJ118" s="272">
        <x:f t="shared" si="130"/>
        <x:v>263.83181133794869</x:v>
      </x:c>
      <x:c r="AK118" s="272">
        <x:f t="shared" si="131"/>
        <x:v>-151.89141267936634</x:v>
      </x:c>
      <x:c r="AL118" s="272">
        <x:f t="shared" si="132"/>
        <x:v>187.05883636584286</x:v>
      </x:c>
      <x:c r="AM118" s="272">
        <x:f t="shared" si="133"/>
        <x:v>-193.4969639649957</x:v>
      </x:c>
      <x:c r="AN118" s="272">
        <x:f t="shared" si="134"/>
        <x:v>-537.47784205526352</x:v>
      </x:c>
      <x:c r="AO118" s="272">
        <x:f t="shared" si="135"/>
        <x:v>-416.43255602967076</x:v>
      </x:c>
      <x:c r="AP118" s="272">
        <x:f t="shared" si="136"/>
        <x:v>-401.86573218501138</x:v>
      </x:c>
      <x:c r="AQ118" s="272">
        <x:f t="shared" si="137"/>
        <x:v>-566.61148974458229</x:v>
      </x:c>
      <x:c r="AR118" s="272"/>
      <x:c r="AS118" s="286">
        <x:f t="shared" si="32"/>
        <x:v>105.50227105942952</x:v>
      </x:c>
      <x:c r="AT118" s="286">
        <x:f t="shared" si="33"/>
        <x:v>-1922.387620014528</x:v>
      </x:c>
      <x:c r="AY118" s="279">
        <x:f t="shared" si="138"/>
        <x:v>175.37360026714319</x:v>
      </x:c>
      <x:c r="AZ118" s="279">
        <x:f t="shared" si="139"/>
        <x:v>-175.37360026714319</x:v>
      </x:c>
      <x:c r="BA118" s="279">
        <x:f t="shared" si="140"/>
        <x:v>-524.13644198049428</x:v>
      </x:c>
      <x:c r="BB118" s="279">
        <x:f t="shared" si="141"/>
        <x:v>-524.13644198049428</x:v>
      </x:c>
      <x:c r="BC118" s="279"/>
      <x:c r="BD118" s="289">
        <x:f t="shared" si="151"/>
        <x:v>0</x:v>
      </x:c>
      <x:c r="BE118" s="289">
        <x:f t="shared" si="152"/>
        <x:v>-1048.2728839609886</x:v>
      </x:c>
    </x:row>
    <x:row r="119" ht="15.75" customHeight="1">
      <x:c r="A119" s="21">
        <x:v>174</x:v>
      </x:c>
      <x:c r="B119" s="21">
        <x:f t="shared" si="19"/>
        <x:v>354</x:v>
      </x:c>
      <x:c r="C119" s="21">
        <x:f t="shared" si="0"/>
        <x:v>354</x:v>
      </x:c>
      <x:c r="D119" s="21">
        <x:f t="shared" si="20"/>
        <x:v>174</x:v>
      </x:c>
      <x:c r="E119" s="22" t="n">
        <x:f t="shared" ref="E119:H119" si="174">A119*PI()/180</x:f>
        <x:v>3.036872898470133</x:v>
      </x:c>
      <x:c r="F119" s="22">
        <x:f t="shared" si="174"/>
        <x:v>6.1784655520599268</x:v>
      </x:c>
      <x:c r="G119" s="22">
        <x:f t="shared" si="174"/>
        <x:v>6.1784655520599268</x:v>
      </x:c>
      <x:c r="H119" s="22">
        <x:f t="shared" si="174"/>
        <x:v>3.0368728984701332</x:v>
      </x:c>
      <x:c r="I119" s="23"/>
      <x:c r="J119" s="23"/>
      <x:c r="K119" s="23"/>
      <x:c r="L119" s="249">
        <x:f t="shared" si="122"/>
        <x:v>142.94681186582815</x:v>
      </x:c>
      <x:c r="M119" s="249">
        <x:f t="shared" si="123"/>
        <x:v>-142.94681186582773</x:v>
      </x:c>
      <x:c r="N119" s="249">
        <x:f t="shared" si="124"/>
        <x:v>-142.94681186582773</x:v>
      </x:c>
      <x:c r="O119" s="249">
        <x:f t="shared" si="125"/>
        <x:v>142.94681186582815</x:v>
      </x:c>
      <x:c r="P119" s="249">
        <x:f t="shared" si="126"/>
        <x:v>-2990.9167382084565</x:v>
      </x:c>
      <x:c r="Q119" s="249">
        <x:f t="shared" si="127"/>
        <x:v>4457.1833329048332</x:v>
      </x:c>
      <x:c r="R119" s="249">
        <x:f t="shared" si="128"/>
        <x:v>4457.1833329048332</x:v>
      </x:c>
      <x:c r="S119" s="249">
        <x:f t="shared" si="129"/>
        <x:v>-2990.9167382084565</x:v>
      </x:c>
      <x:c r="T119" s="23"/>
      <x:c r="U119" s="23"/>
      <x:c r="V119" s="260">
        <x:f t="shared" si="143"/>
        <x:v>-2708.5433812657498</x:v>
      </x:c>
      <x:c r="W119" s="260">
        <x:f t="shared" si="144"/>
        <x:v>-4172.6038305316779</x:v>
      </x:c>
      <x:c r="X119" s="260">
        <x:f t="shared" si="145"/>
        <x:v>4063.1970773107546</x:v>
      </x:c>
      <x:c r="Y119" s="260">
        <x:f t="shared" si="146"/>
        <x:v>2817.9501344866735</x:v>
      </x:c>
      <x:c r="Z119" s="260">
        <x:f t="shared" si="147"/>
        <x:v>-1276.6399170163911</x:v>
      </x:c>
      <x:c r="AA119" s="260">
        <x:f t="shared" si="148"/>
        <x:v>1573.6245827959126</x:v>
      </x:c>
      <x:c r="AB119" s="260">
        <x:f t="shared" si="149"/>
        <x:v>1837.7558502370723</x:v>
      </x:c>
      <x:c r="AC119" s="260">
        <x:f t="shared" si="150"/>
        <x:v>-1012.5086495752308</x:v>
      </x:c>
      <x:c r="AD119" s="260"/>
      <x:c r="AE119" s="282">
        <x:f t="shared" si="39"/>
        <x:v>0</x:v>
      </x:c>
      <x:c r="AF119" s="282">
        <x:f t="shared" si="10"/>
        <x:v>1122.2318664413629</x:v>
      </x:c>
      <x:c r="AJ119" s="272">
        <x:f t="shared" si="130"/>
        <x:v>255.32798340327824</x:v>
      </x:c>
      <x:c r="AK119" s="272">
        <x:f t="shared" si="131"/>
        <x:v>-157.36245827959127</x:v>
      </x:c>
      <x:c r="AL119" s="272">
        <x:f t="shared" si="132"/>
        <x:v>183.77558502370724</x:v>
      </x:c>
      <x:c r="AM119" s="272">
        <x:f t="shared" si="133"/>
        <x:v>-202.50172991504618</x:v>
      </x:c>
      <x:c r="AN119" s="272">
        <x:f t="shared" si="134"/>
        <x:v>-541.70867625314997</x:v>
      </x:c>
      <x:c r="AO119" s="272">
        <x:f t="shared" si="135"/>
        <x:v>-417.2603830531678</x:v>
      </x:c>
      <x:c r="AP119" s="272">
        <x:f t="shared" si="136"/>
        <x:v>-406.31970773107548</x:v>
      </x:c>
      <x:c r="AQ119" s="272">
        <x:f t="shared" si="137"/>
        <x:v>-563.59002689733472</x:v>
      </x:c>
      <x:c r="AR119" s="272"/>
      <x:c r="AS119" s="286">
        <x:f t="shared" si="32"/>
        <x:v>79.239380232348054</x:v>
      </x:c>
      <x:c r="AT119" s="286">
        <x:f t="shared" si="33"/>
        <x:v>-1928.878793934728</x:v>
      </x:c>
      <x:c r="AY119" s="279">
        <x:f t="shared" si="138"/>
        <x:v>138.38448903778757</x:v>
      </x:c>
      <x:c r="AZ119" s="279">
        <x:f t="shared" si="139"/>
        <x:v>-138.38448903778757</x:v>
      </x:c>
      <x:c r="BA119" s="279">
        <x:f t="shared" si="140"/>
        <x:v>-535.09311589328274</x:v>
      </x:c>
      <x:c r="BB119" s="279">
        <x:f t="shared" si="141"/>
        <x:v>-535.09311589328274</x:v>
      </x:c>
      <x:c r="BC119" s="279"/>
      <x:c r="BD119" s="289">
        <x:f t="shared" si="151"/>
        <x:v>0</x:v>
      </x:c>
      <x:c r="BE119" s="289">
        <x:f t="shared" si="152"/>
        <x:v>-1070.1862317865655</x:v>
      </x:c>
    </x:row>
    <x:row r="120" ht="15.75" customHeight="1">
      <x:c r="A120" s="21">
        <x:v>176</x:v>
      </x:c>
      <x:c r="B120" s="21">
        <x:f t="shared" si="19"/>
        <x:v>356</x:v>
      </x:c>
      <x:c r="C120" s="21">
        <x:f t="shared" si="0"/>
        <x:v>356</x:v>
      </x:c>
      <x:c r="D120" s="21">
        <x:f t="shared" si="20"/>
        <x:v>176</x:v>
      </x:c>
      <x:c r="E120" s="22" t="n">
        <x:f t="shared" ref="E120:H120" si="175">A120*PI()/180</x:f>
        <x:v>3.07177948351002</x:v>
      </x:c>
      <x:c r="F120" s="22">
        <x:f t="shared" si="175"/>
        <x:v>6.2133721370998138</x:v>
      </x:c>
      <x:c r="G120" s="22">
        <x:f t="shared" si="175"/>
        <x:v>6.2133721370998138</x:v>
      </x:c>
      <x:c r="H120" s="22">
        <x:f t="shared" si="175"/>
        <x:v>3.0717794835100198</x:v>
      </x:c>
      <x:c r="I120" s="23"/>
      <x:c r="J120" s="23"/>
      <x:c r="K120" s="23"/>
      <x:c r="L120" s="249">
        <x:f t="shared" si="122"/>
        <x:v>95.394739547565479</x:v>
      </x:c>
      <x:c r="M120" s="249">
        <x:f t="shared" si="123"/>
        <x:v>-95.394739547564441</x:v>
      </x:c>
      <x:c r="N120" s="249">
        <x:f t="shared" si="124"/>
        <x:v>-95.394739547564441</x:v>
      </x:c>
      <x:c r="O120" s="249">
        <x:f t="shared" si="125"/>
        <x:v>95.394739547565479</x:v>
      </x:c>
      <x:c r="P120" s="249">
        <x:f t="shared" si="126"/>
        <x:v>-2993.2238439094126</x:v>
      </x:c>
      <x:c r="Q120" s="249">
        <x:f t="shared" si="127"/>
        <x:v>4477.6593093759466</x:v>
      </x:c>
      <x:c r="R120" s="249">
        <x:f t="shared" si="128"/>
        <x:v>4477.6593093759466</x:v>
      </x:c>
      <x:c r="S120" s="249">
        <x:f t="shared" si="129"/>
        <x:v>-2993.2238439094126</x:v>
      </x:c>
      <x:c r="T120" s="23"/>
      <x:c r="U120" s="23"/>
      <x:c r="V120" s="260">
        <x:f t="shared" si="143"/>
        <x:v>-2728.8722592530285</x:v>
      </x:c>
      <x:c r="W120" s="260">
        <x:f t="shared" si="144"/>
        <x:v>-4173.3237758506966</x:v>
      </x:c>
      <x:c r="X120" s="260">
        <x:f t="shared" si="145"/>
        <x:v>4100.3118031314243</x:v>
      </x:c>
      <x:c r="Y120" s="260">
        <x:f t="shared" si="146"/>
        <x:v>2801.8842319723008</x:v>
      </x:c>
      <x:c r="Z120" s="260">
        <x:f t="shared" si="147"/>
        <x:v>-1233.5904218015226</x:v>
      </x:c>
      <x:c r="AA120" s="260">
        <x:f t="shared" si="148"/>
        <x:v>1625.3927860962451</x:v>
      </x:c>
      <x:c r="AB120" s="260">
        <x:f t="shared" si="149"/>
        <x:v>1801.6592808507246</x:v>
      </x:c>
      <x:c r="AC120" s="260">
        <x:f t="shared" si="150"/>
        <x:v>-1057.3239270470413</x:v>
      </x:c>
      <x:c r="AD120" s="260"/>
      <x:c r="AE120" s="282">
        <x:f t="shared" si="39"/>
        <x:v>0</x:v>
      </x:c>
      <x:c r="AF120" s="282">
        <x:f t="shared" si="10"/>
        <x:v>1136.1377180984059</x:v>
      </x:c>
      <x:c r="AJ120" s="272">
        <x:f t="shared" si="130"/>
        <x:v>246.71808436030452</x:v>
      </x:c>
      <x:c r="AK120" s="272">
        <x:f t="shared" si="131"/>
        <x:v>-162.53927860962452</x:v>
      </x:c>
      <x:c r="AL120" s="272">
        <x:f t="shared" si="132"/>
        <x:v>180.16592808507247</x:v>
      </x:c>
      <x:c r="AM120" s="272">
        <x:f t="shared" si="133"/>
        <x:v>-211.46478540940825</x:v>
      </x:c>
      <x:c r="AN120" s="272">
        <x:f t="shared" si="134"/>
        <x:v>-545.77445185060571</x:v>
      </x:c>
      <x:c r="AO120" s="272">
        <x:f t="shared" si="135"/>
        <x:v>-417.33237758506971</x:v>
      </x:c>
      <x:c r="AP120" s="272">
        <x:f t="shared" si="136"/>
        <x:v>-410.03118031314244</x:v>
      </x:c>
      <x:c r="AQ120" s="272">
        <x:f t="shared" si="137"/>
        <x:v>-560.37684639446013</x:v>
      </x:c>
      <x:c r="AR120" s="272"/>
      <x:c r="AS120" s="286">
        <x:f t="shared" si="32"/>
        <x:v>52.879948426344185</x:v>
      </x:c>
      <x:c r="AT120" s="286">
        <x:f t="shared" si="33"/>
        <x:v>-1933.5148561432779</x:v>
      </x:c>
      <x:c r="AY120" s="279">
        <x:f t="shared" si="138"/>
        <x:v>100.72118248819912</x:v>
      </x:c>
      <x:c r="AZ120" s="279">
        <x:f t="shared" si="139"/>
        <x:v>-100.72118248819912</x:v>
      </x:c>
      <x:c r="BA120" s="279">
        <x:f t="shared" si="140"/>
        <x:v>-543.44286993281139</x:v>
      </x:c>
      <x:c r="BB120" s="279">
        <x:f t="shared" si="141"/>
        <x:v>-543.44286993281139</x:v>
      </x:c>
      <x:c r="BC120" s="279"/>
      <x:c r="BD120" s="289">
        <x:f t="shared" si="151"/>
        <x:v>0</x:v>
      </x:c>
      <x:c r="BE120" s="289">
        <x:f t="shared" si="152"/>
        <x:v>-1086.8857398656228</x:v>
      </x:c>
    </x:row>
    <x:row r="121" ht="15.75" customHeight="1">
      <x:c r="A121" s="21">
        <x:v>178</x:v>
      </x:c>
      <x:c r="B121" s="21">
        <x:f t="shared" si="19"/>
        <x:v>358</x:v>
      </x:c>
      <x:c r="C121" s="21">
        <x:f t="shared" si="0"/>
        <x:v>358</x:v>
      </x:c>
      <x:c r="D121" s="21">
        <x:f t="shared" si="20"/>
        <x:v>178</x:v>
      </x:c>
      <x:c r="E121" s="22" t="n">
        <x:f t="shared" ref="E121:H121" si="176">A121*PI()/180</x:f>
        <x:v>3.106686068549907</x:v>
      </x:c>
      <x:c r="F121" s="22">
        <x:f t="shared" si="176"/>
        <x:v>6.2482787221397</x:v>
      </x:c>
      <x:c r="G121" s="22">
        <x:f t="shared" si="176"/>
        <x:v>6.2482787221397</x:v>
      </x:c>
      <x:c r="H121" s="22">
        <x:f t="shared" si="176"/>
        <x:v>3.1066860685499069</x:v>
      </x:c>
      <x:c r="I121" s="23"/>
      <x:c r="J121" s="23"/>
      <x:c r="K121" s="23"/>
      <x:c r="L121" s="249">
        <x:f t="shared" si="122"/>
        <x:v>47.726443433596614</x:v>
      </x:c>
      <x:c r="M121" s="249">
        <x:f t="shared" si="123"/>
        <x:v>-47.726443433596785</x:v>
      </x:c>
      <x:c r="N121" s="249">
        <x:f t="shared" si="124"/>
        <x:v>-47.726443433596785</x:v>
      </x:c>
      <x:c r="O121" s="249">
        <x:f t="shared" si="125"/>
        <x:v>47.726443433596614</x:v>
      </x:c>
      <x:c r="P121" s="249">
        <x:f t="shared" si="126"/>
        <x:v>-2994.5958996363061</x:v>
      </x:c>
      <x:c r="Q121" s="249">
        <x:f t="shared" si="127"/>
        <x:v>4489.9682155001747</x:v>
      </x:c>
      <x:c r="R121" s="249">
        <x:f t="shared" si="128"/>
        <x:v>4489.9682155001747</x:v>
      </x:c>
      <x:c r="S121" s="249">
        <x:f t="shared" si="129"/>
        <x:v>-2994.5958996363061</x:v>
      </x:c>
      <x:c r="T121" s="23"/>
      <x:c r="U121" s="23"/>
      <x:c r="V121" s="260">
        <x:f t="shared" si="143"/>
        <x:v>-2748.3817406284597</x:v>
      </x:c>
      <x:c r="W121" s="260">
        <x:f t="shared" si="144"/>
        <x:v>-4166.4538551145852</x:v>
      </x:c>
      <x:c r="X121" s="260">
        <x:f t="shared" si="145"/>
        <x:v>4129.9256167390904</x:v>
      </x:c>
      <x:c r="Y121" s="260">
        <x:f t="shared" si="146"/>
        <x:v>2784.9099790039536</x:v>
      </x:c>
      <x:c r="Z121" s="260">
        <x:f t="shared" si="147"/>
        <x:v>-1190.0757216671032</x:v>
      </x:c>
      <x:c r="AA121" s="260">
        <x:f t="shared" si="148"/>
        <x:v>1674.1429636699065</x:v>
      </x:c>
      <x:c r="AB121" s="260">
        <x:f t="shared" si="149"/>
        <x:v>1762.329932165622</x:v>
      </x:c>
      <x:c r="AC121" s="260">
        <x:f t="shared" si="150"/>
        <x:v>-1101.8887531713881</x:v>
      </x:c>
      <x:c r="AD121" s="260"/>
      <x:c r="AE121" s="282">
        <x:f t="shared" si="39"/>
        <x:v>0</x:v>
      </x:c>
      <x:c r="AF121" s="282">
        <x:f t="shared" si="10"/>
        <x:v>1144.5084209970373</x:v>
      </x:c>
      <x:c r="AJ121" s="272">
        <x:f t="shared" si="130"/>
        <x:v>238.01514433342064</x:v>
      </x:c>
      <x:c r="AK121" s="272">
        <x:f t="shared" si="131"/>
        <x:v>-167.41429636699067</x:v>
      </x:c>
      <x:c r="AL121" s="272">
        <x:f t="shared" si="132"/>
        <x:v>176.23299321656222</x:v>
      </x:c>
      <x:c r="AM121" s="272">
        <x:f t="shared" si="133"/>
        <x:v>-220.37775063427762</x:v>
      </x:c>
      <x:c r="AN121" s="272">
        <x:f t="shared" si="134"/>
        <x:v>-549.67634812569202</x:v>
      </x:c>
      <x:c r="AO121" s="272">
        <x:f t="shared" si="135"/>
        <x:v>-416.64538551145853</x:v>
      </x:c>
      <x:c r="AP121" s="272">
        <x:f t="shared" si="136"/>
        <x:v>-412.99256167390905</x:v>
      </x:c>
      <x:c r="AQ121" s="272">
        <x:f t="shared" si="137"/>
        <x:v>-556.98199580079074</x:v>
      </x:c>
      <x:c r="AR121" s="272"/>
      <x:c r="AS121" s="286">
        <x:f t="shared" si="32"/>
        <x:v>26.45609054871457</x:v>
      </x:c>
      <x:c r="AT121" s="286">
        <x:f t="shared" si="33"/>
        <x:v>-1936.2962911118502</x:v>
      </x:c>
      <x:c r="AY121" s="279">
        <x:f t="shared" si="138"/>
        <x:v>62.567172461986964</x:v>
      </x:c>
      <x:c r="AZ121" s="279">
        <x:f t="shared" si="139"/>
        <x:v>-62.567172461986964</x:v>
      </x:c>
      <x:c r="BA121" s="279">
        <x:f t="shared" si="140"/>
        <x:v>-549.14502493671353</x:v>
      </x:c>
      <x:c r="BB121" s="279">
        <x:f t="shared" si="141"/>
        <x:v>-549.14502493671353</x:v>
      </x:c>
      <x:c r="BC121" s="279"/>
      <x:c r="BD121" s="289">
        <x:f t="shared" si="151"/>
        <x:v>0</x:v>
      </x:c>
      <x:c r="BE121" s="289">
        <x:f t="shared" si="152"/>
        <x:v>-1098.2900498734271</x:v>
      </x:c>
    </x:row>
    <x:row r="122" ht="15.75" customHeight="1">
      <x:c r="A122" s="21">
        <x:v>180</x:v>
      </x:c>
      <x:c r="B122" s="21">
        <x:f t="shared" si="19"/>
        <x:v>360</x:v>
      </x:c>
      <x:c r="C122" s="21">
        <x:f t="shared" si="0"/>
        <x:v>360</x:v>
      </x:c>
      <x:c r="D122" s="21">
        <x:f t="shared" si="20"/>
        <x:v>180</x:v>
      </x:c>
      <x:c r="E122" s="22" t="n">
        <x:f t="shared" ref="E122:H122" si="177">A122*PI()/180</x:f>
        <x:v>3.141592653589793</x:v>
      </x:c>
      <x:c r="F122" s="22">
        <x:f t="shared" si="177"/>
        <x:v>6.2831853071795862</x:v>
      </x:c>
      <x:c r="G122" s="22">
        <x:f t="shared" si="177"/>
        <x:v>6.2831853071795862</x:v>
      </x:c>
      <x:c r="H122" s="22">
        <x:f t="shared" si="177"/>
        <x:v>3.1415926535897931</x:v>
      </x:c>
      <x:c r="I122" s="23"/>
      <x:c r="J122" s="23"/>
      <x:c r="K122" s="23"/>
      <x:c r="L122" s="249">
        <x:f t="shared" si="122"/>
        <x:v>1.6754390164819992E-13</x:v>
      </x:c>
      <x:c r="M122" s="249">
        <x:f t="shared" si="123"/>
        <x:v>-3.3508780329639984E-13</x:v>
      </x:c>
      <x:c r="N122" s="249">
        <x:f t="shared" si="124"/>
        <x:v>-3.3508780329639984E-13</x:v>
      </x:c>
      <x:c r="O122" s="249">
        <x:f t="shared" si="125"/>
        <x:v>1.6754390164819992E-13</x:v>
      </x:c>
      <x:c r="P122" s="249">
        <x:f t="shared" si="126"/>
        <x:v>-2995.0512129347067</x:v>
      </x:c>
      <x:c r="Q122" s="249">
        <x:f t="shared" si="127"/>
        <x:v>4494.0750755873205</x:v>
      </x:c>
      <x:c r="R122" s="249">
        <x:f t="shared" si="128"/>
        <x:v>4494.0750755873205</x:v>
      </x:c>
      <x:c r="S122" s="249">
        <x:f t="shared" si="129"/>
        <x:v>-2995.0512129347067</x:v>
      </x:c>
      <x:c r="T122" s="23"/>
      <x:c r="U122" s="23"/>
      <x:c r="V122" s="260">
        <x:f t="shared" si="143"/>
        <x:v>-2767.0665144534792</x:v>
      </x:c>
      <x:c r="W122" s="260">
        <x:f t="shared" si="144"/>
        <x:v>-4151.9839799042393</x:v>
      </x:c>
      <x:c r="X122" s="260">
        <x:f t="shared" si="145"/>
        <x:v>4151.9839799042393</x:v>
      </x:c>
      <x:c r="Y122" s="260">
        <x:f t="shared" si="146"/>
        <x:v>2767.0665144534792</x:v>
      </x:c>
      <x:c r="Z122" s="260">
        <x:f t="shared" si="147"/>
        <x:v>-1146.1564782750793</x:v>
      </x:c>
      <x:c r="AA122" s="260">
        <x:f t="shared" si="148"/>
        <x:v>1719.8080752321562</x:v>
      </x:c>
      <x:c r="AB122" s="260">
        <x:f t="shared" si="149"/>
        <x:v>1719.8080752321566</x:v>
      </x:c>
      <x:c r="AC122" s="260">
        <x:f t="shared" si="150"/>
        <x:v>-1146.1564782750788</x:v>
      </x:c>
      <x:c r="AD122" s="260"/>
      <x:c r="AE122" s="282">
        <x:f t="shared" si="39"/>
        <x:v>0</x:v>
      </x:c>
      <x:c r="AF122" s="282">
        <x:f t="shared" si="10"/>
        <x:v>1147.3031939141547</x:v>
      </x:c>
      <x:c r="AJ122" s="272">
        <x:f t="shared" si="130"/>
        <x:v>229.23129565501586</x:v>
      </x:c>
      <x:c r="AK122" s="272">
        <x:f t="shared" si="131"/>
        <x:v>-171.98080752321562</x:v>
      </x:c>
      <x:c r="AL122" s="272">
        <x:f t="shared" si="132"/>
        <x:v>171.98080752321567</x:v>
      </x:c>
      <x:c r="AM122" s="272">
        <x:f t="shared" si="133"/>
        <x:v>-229.23129565501577</x:v>
      </x:c>
      <x:c r="AN122" s="272">
        <x:f t="shared" si="134"/>
        <x:v>-553.41330289069583</x:v>
      </x:c>
      <x:c r="AO122" s="272">
        <x:f t="shared" si="135"/>
        <x:v>-415.19839799042393</x:v>
      </x:c>
      <x:c r="AP122" s="272">
        <x:f t="shared" si="136"/>
        <x:v>-415.19839799042393</x:v>
      </x:c>
      <x:c r="AQ122" s="272">
        <x:f t="shared" si="137"/>
        <x:v>-553.41330289069583</x:v>
      </x:c>
      <x:c r="AR122" s="272"/>
      <x:c r="AS122" s="286">
        <x:f t="shared" si="32"/>
        <x:v>0</x:v>
      </x:c>
      <x:c r="AT122" s="286">
        <x:f t="shared" si="33"/>
        <x:v>-1937.2234017622395</x:v>
      </x:c>
      <x:c r="AY122" s="279">
        <x:f t="shared" si="138"/>
        <x:v>24.108341460769225</x:v>
      </x:c>
      <x:c r="AZ122" s="279">
        <x:f t="shared" si="139"/>
        <x:v>-24.108341460769225</x:v>
      </x:c>
      <x:c r="BA122" s="279">
        <x:f t="shared" si="140"/>
        <x:v>-552.17180057898884</x:v>
      </x:c>
      <x:c r="BB122" s="279">
        <x:f t="shared" si="141"/>
        <x:v>-552.17180057898884</x:v>
      </x:c>
      <x:c r="BC122" s="279"/>
      <x:c r="BD122" s="289">
        <x:f t="shared" si="151"/>
        <x:v>0</x:v>
      </x:c>
      <x:c r="BE122" s="289">
        <x:f t="shared" si="152"/>
        <x:v>-1104.3436011579777</x:v>
      </x:c>
    </x:row>
    <x:row r="123" ht="15.75" customHeight="1">
      <x:c r="A123" s="21">
        <x:v>182</x:v>
      </x:c>
      <x:c r="B123" s="21">
        <x:f t="shared" si="19"/>
        <x:v>362</x:v>
      </x:c>
      <x:c r="C123" s="21">
        <x:f t="shared" si="0"/>
        <x:v>362</x:v>
      </x:c>
      <x:c r="D123" s="21">
        <x:f t="shared" si="20"/>
        <x:v>182</x:v>
      </x:c>
      <x:c r="E123" s="22" t="n">
        <x:f t="shared" ref="E123:H123" si="178">A123*PI()/180</x:f>
        <x:v>3.1764992386296798</x:v>
      </x:c>
      <x:c r="F123" s="22">
        <x:f t="shared" si="178"/>
        <x:v>6.3180918922194724</x:v>
      </x:c>
      <x:c r="G123" s="22">
        <x:f t="shared" si="178"/>
        <x:v>6.3180918922194724</x:v>
      </x:c>
      <x:c r="H123" s="22">
        <x:f t="shared" si="178"/>
        <x:v>3.1764992386296798</x:v>
      </x:c>
      <x:c r="I123" s="23"/>
      <x:c r="J123" s="23"/>
      <x:c r="K123" s="23"/>
      <x:c r="L123" s="249">
        <x:f t="shared" si="122"/>
        <x:v>-47.726443433596891</x:v>
      </x:c>
      <x:c r="M123" s="249">
        <x:f t="shared" si="123"/>
        <x:v>47.726443433596117</x:v>
      </x:c>
      <x:c r="N123" s="249">
        <x:f t="shared" si="124"/>
        <x:v>47.726443433596117</x:v>
      </x:c>
      <x:c r="O123" s="249">
        <x:f t="shared" si="125"/>
        <x:v>-47.726443433596891</x:v>
      </x:c>
      <x:c r="P123" s="249">
        <x:f t="shared" si="126"/>
        <x:v>-2994.5958996363061</x:v>
      </x:c>
      <x:c r="Q123" s="249">
        <x:f t="shared" si="127"/>
        <x:v>4489.9682155001747</x:v>
      </x:c>
      <x:c r="R123" s="249">
        <x:f t="shared" si="128"/>
        <x:v>4489.9682155001747</x:v>
      </x:c>
      <x:c r="S123" s="249">
        <x:f t="shared" si="129"/>
        <x:v>-2994.5958996363061</x:v>
      </x:c>
      <x:c r="T123" s="23"/>
      <x:c r="U123" s="23"/>
      <x:c r="V123" s="260">
        <x:f t="shared" si="143"/>
        <x:v>-2784.909979003954</x:v>
      </x:c>
      <x:c r="W123" s="260">
        <x:f t="shared" si="144"/>
        <x:v>-4129.9256167390913</x:v>
      </x:c>
      <x:c r="X123" s="260">
        <x:f t="shared" si="145"/>
        <x:v>4166.4538551145843</x:v>
      </x:c>
      <x:c r="Y123" s="260">
        <x:f t="shared" si="146"/>
        <x:v>2748.3817406284593</x:v>
      </x:c>
      <x:c r="Z123" s="260">
        <x:f t="shared" si="147"/>
        <x:v>-1101.8887531713879</x:v>
      </x:c>
      <x:c r="AA123" s="260">
        <x:f t="shared" si="148"/>
        <x:v>1762.3299321656214</x:v>
      </x:c>
      <x:c r="AB123" s="260">
        <x:f t="shared" si="149"/>
        <x:v>1674.1429636699072</x:v>
      </x:c>
      <x:c r="AC123" s="260">
        <x:f t="shared" si="150"/>
        <x:v>-1190.0757216671034</x:v>
      </x:c>
      <x:c r="AD123" s="260"/>
      <x:c r="AE123" s="282">
        <x:f t="shared" si="39"/>
        <x:v>0</x:v>
      </x:c>
      <x:c r="AF123" s="282">
        <x:f t="shared" si="10"/>
        <x:v>1144.5084209970375</x:v>
      </x:c>
      <x:c r="AJ123" s="272">
        <x:f t="shared" si="130"/>
        <x:v>220.37775063427759</x:v>
      </x:c>
      <x:c r="AK123" s="272">
        <x:f t="shared" si="131"/>
        <x:v>-176.23299321656214</x:v>
      </x:c>
      <x:c r="AL123" s="272">
        <x:f t="shared" si="132"/>
        <x:v>167.41429636699073</x:v>
      </x:c>
      <x:c r="AM123" s="272">
        <x:f t="shared" si="133"/>
        <x:v>-238.01514433342069</x:v>
      </x:c>
      <x:c r="AN123" s="272">
        <x:f t="shared" si="134"/>
        <x:v>-556.98199580079086</x:v>
      </x:c>
      <x:c r="AO123" s="272">
        <x:f t="shared" si="135"/>
        <x:v>-412.99256167390917</x:v>
      </x:c>
      <x:c r="AP123" s="272">
        <x:f t="shared" si="136"/>
        <x:v>-416.64538551145847</x:v>
      </x:c>
      <x:c r="AQ123" s="272">
        <x:f t="shared" si="137"/>
        <x:v>-549.6763481256919</x:v>
      </x:c>
      <x:c r="AR123" s="272"/>
      <x:c r="AS123" s="286">
        <x:f t="shared" si="32"/>
        <x:v>-26.456090548714513</x:v>
      </x:c>
      <x:c r="AT123" s="286">
        <x:f t="shared" si="33"/>
        <x:v>-1936.2962911118505</x:v>
      </x:c>
      <x:c r="AY123" s="279">
        <x:f t="shared" si="138"/>
        <x:v>-14.467942956682394</x:v>
      </x:c>
      <x:c r="AZ123" s="279">
        <x:f t="shared" si="139"/>
        <x:v>14.467942956682394</x:v>
      </x:c>
      <x:c r="BA123" s="279">
        <x:f t="shared" si="140"/>
        <x:v>-552.50845071295862</x:v>
      </x:c>
      <x:c r="BB123" s="279">
        <x:f t="shared" si="141"/>
        <x:v>-552.50845071295862</x:v>
      </x:c>
      <x:c r="BC123" s="279"/>
      <x:c r="BD123" s="289">
        <x:f t="shared" si="151"/>
        <x:v>0</x:v>
      </x:c>
      <x:c r="BE123" s="289">
        <x:f t="shared" si="152"/>
        <x:v>-1105.0169014259172</x:v>
      </x:c>
    </x:row>
    <x:row r="124" ht="15.75" customHeight="1">
      <x:c r="A124" s="21">
        <x:v>184</x:v>
      </x:c>
      <x:c r="B124" s="21">
        <x:f t="shared" si="19"/>
        <x:v>364</x:v>
      </x:c>
      <x:c r="C124" s="21">
        <x:f t="shared" si="0"/>
        <x:v>364</x:v>
      </x:c>
      <x:c r="D124" s="21">
        <x:f t="shared" si="20"/>
        <x:v>184</x:v>
      </x:c>
      <x:c r="E124" s="22" t="n">
        <x:f t="shared" ref="E124:H124" si="179">A124*PI()/180</x:f>
        <x:v>3.211405823669566</x:v>
      </x:c>
      <x:c r="F124" s="22">
        <x:f t="shared" si="179"/>
        <x:v>6.3529984772593595</x:v>
      </x:c>
      <x:c r="G124" s="22">
        <x:f t="shared" si="179"/>
        <x:v>6.3529984772593595</x:v>
      </x:c>
      <x:c r="H124" s="22">
        <x:f t="shared" si="179"/>
        <x:v>3.211405823669566</x:v>
      </x:c>
      <x:c r="I124" s="23"/>
      <x:c r="J124" s="23"/>
      <x:c r="K124" s="23"/>
      <x:c r="L124" s="249">
        <x:f t="shared" si="122"/>
        <x:v>-95.394739547564527</x:v>
      </x:c>
      <x:c r="M124" s="249">
        <x:f t="shared" si="123"/>
        <x:v>95.394739547564967</x:v>
      </x:c>
      <x:c r="N124" s="249">
        <x:f t="shared" si="124"/>
        <x:v>95.394739547564967</x:v>
      </x:c>
      <x:c r="O124" s="249">
        <x:f t="shared" si="125"/>
        <x:v>-95.394739547564527</x:v>
      </x:c>
      <x:c r="P124" s="249">
        <x:f t="shared" si="126"/>
        <x:v>-2993.2238439094131</x:v>
      </x:c>
      <x:c r="Q124" s="249">
        <x:f t="shared" si="127"/>
        <x:v>4477.6593093759457</x:v>
      </x:c>
      <x:c r="R124" s="249">
        <x:f t="shared" si="128"/>
        <x:v>4477.6593093759457</x:v>
      </x:c>
      <x:c r="S124" s="249">
        <x:f t="shared" si="129"/>
        <x:v>-2993.2238439094131</x:v>
      </x:c>
      <x:c r="T124" s="23"/>
      <x:c r="U124" s="23"/>
      <x:c r="V124" s="260">
        <x:f t="shared" si="143"/>
        <x:v>-2801.8842319723008</x:v>
      </x:c>
      <x:c r="W124" s="260">
        <x:f t="shared" si="144"/>
        <x:v>-4100.3118031314234</x:v>
      </x:c>
      <x:c r="X124" s="260">
        <x:f t="shared" si="145"/>
        <x:v>4173.3237758506957</x:v>
      </x:c>
      <x:c r="Y124" s="260">
        <x:f t="shared" si="146"/>
        <x:v>2728.8722592530294</x:v>
      </x:c>
      <x:c r="Z124" s="260">
        <x:f t="shared" si="147"/>
        <x:v>-1057.3239270470422</x:v>
      </x:c>
      <x:c r="AA124" s="260">
        <x:f t="shared" si="148"/>
        <x:v>1801.6592808507248</x:v>
      </x:c>
      <x:c r="AB124" s="260">
        <x:f t="shared" si="149"/>
        <x:v>1625.3927860962444</x:v>
      </x:c>
      <x:c r="AC124" s="260">
        <x:f t="shared" si="150"/>
        <x:v>-1233.5904218015221</x:v>
      </x:c>
      <x:c r="AD124" s="260"/>
      <x:c r="AE124" s="282">
        <x:f t="shared" si="39"/>
        <x:v>0</x:v>
      </x:c>
      <x:c r="AF124" s="282">
        <x:f t="shared" si="10"/>
        <x:v>1136.137718098405</x:v>
      </x:c>
      <x:c r="AJ124" s="272">
        <x:f t="shared" si="130"/>
        <x:v>211.46478540940845</x:v>
      </x:c>
      <x:c r="AK124" s="272">
        <x:f t="shared" si="131"/>
        <x:v>-180.16592808507249</x:v>
      </x:c>
      <x:c r="AL124" s="272">
        <x:f t="shared" si="132"/>
        <x:v>162.53927860962446</x:v>
      </x:c>
      <x:c r="AM124" s="272">
        <x:f t="shared" si="133"/>
        <x:v>-246.71808436030443</x:v>
      </x:c>
      <x:c r="AN124" s="272">
        <x:f t="shared" si="134"/>
        <x:v>-560.37684639446013</x:v>
      </x:c>
      <x:c r="AO124" s="272">
        <x:f t="shared" si="135"/>
        <x:v>-410.03118031314239</x:v>
      </x:c>
      <x:c r="AP124" s="272">
        <x:f t="shared" si="136"/>
        <x:v>-417.33237758506959</x:v>
      </x:c>
      <x:c r="AQ124" s="272">
        <x:f t="shared" si="137"/>
        <x:v>-545.77445185060594</x:v>
      </x:c>
      <x:c r="AR124" s="272"/>
      <x:c r="AS124" s="286">
        <x:f t="shared" si="32"/>
        <x:v>-52.879948426344015</x:v>
      </x:c>
      <x:c r="AT124" s="286">
        <x:f t="shared" si="33"/>
        <x:v>-1933.5148561432779</x:v>
      </x:c>
      <x:c r="AY124" s="279">
        <x:f t="shared" si="138"/>
        <x:v>-52.9737410103616</x:v>
      </x:c>
      <x:c r="AZ124" s="279">
        <x:f t="shared" si="139"/>
        <x:v>52.9737410103616</x:v>
      </x:c>
      <x:c r="BA124" s="279">
        <x:f t="shared" si="140"/>
        <x:v>-550.15333521301022</x:v>
      </x:c>
      <x:c r="BB124" s="279">
        <x:f t="shared" si="141"/>
        <x:v>-550.15333521301022</x:v>
      </x:c>
      <x:c r="BC124" s="279"/>
      <x:c r="BD124" s="289">
        <x:f t="shared" si="151"/>
        <x:v>0</x:v>
      </x:c>
      <x:c r="BE124" s="289">
        <x:f t="shared" si="152"/>
        <x:v>-1100.3066704260204</x:v>
      </x:c>
    </x:row>
    <x:row r="125" ht="15.75" customHeight="1">
      <x:c r="A125" s="21">
        <x:v>186</x:v>
      </x:c>
      <x:c r="B125" s="21">
        <x:f t="shared" si="19"/>
        <x:v>366</x:v>
      </x:c>
      <x:c r="C125" s="21">
        <x:f t="shared" si="0"/>
        <x:v>366</x:v>
      </x:c>
      <x:c r="D125" s="21">
        <x:f t="shared" si="20"/>
        <x:v>186</x:v>
      </x:c>
      <x:c r="E125" s="22" t="n">
        <x:f t="shared" ref="E125:H125" si="180">A125*PI()/180</x:f>
        <x:v>3.2463124087094526</x:v>
      </x:c>
      <x:c r="F125" s="22">
        <x:f t="shared" si="180"/>
        <x:v>6.3879050622992457</x:v>
      </x:c>
      <x:c r="G125" s="22">
        <x:f t="shared" si="180"/>
        <x:v>6.3879050622992457</x:v>
      </x:c>
      <x:c r="H125" s="22">
        <x:f t="shared" si="180"/>
        <x:v>3.2463124087094526</x:v>
      </x:c>
      <x:c r="I125" s="23"/>
      <x:c r="J125" s="23"/>
      <x:c r="K125" s="23"/>
      <x:c r="L125" s="249">
        <x:f t="shared" si="122"/>
        <x:v>-142.94681186582724</x:v>
      </x:c>
      <x:c r="M125" s="249">
        <x:f t="shared" si="123"/>
        <x:v>142.94681186582707</x:v>
      </x:c>
      <x:c r="N125" s="249">
        <x:f t="shared" si="124"/>
        <x:v>142.94681186582707</x:v>
      </x:c>
      <x:c r="O125" s="249">
        <x:f t="shared" si="125"/>
        <x:v>-142.94681186582724</x:v>
      </x:c>
      <x:c r="P125" s="249">
        <x:f t="shared" si="126"/>
        <x:v>-2990.9167382084565</x:v>
      </x:c>
      <x:c r="Q125" s="249">
        <x:f t="shared" si="127"/>
        <x:v>4457.1833329048332</x:v>
      </x:c>
      <x:c r="R125" s="249">
        <x:f t="shared" si="128"/>
        <x:v>4457.1833329048332</x:v>
      </x:c>
      <x:c r="S125" s="249">
        <x:f t="shared" si="129"/>
        <x:v>-2990.9167382084565</x:v>
      </x:c>
      <x:c r="T125" s="23"/>
      <x:c r="U125" s="23"/>
      <x:c r="V125" s="260">
        <x:f t="shared" si="143"/>
        <x:v>-2817.9501344866731</x:v>
      </x:c>
      <x:c r="W125" s="260">
        <x:f t="shared" si="144"/>
        <x:v>-4063.197077310755</x:v>
      </x:c>
      <x:c r="X125" s="260">
        <x:f t="shared" si="145"/>
        <x:v>4172.6038305316779</x:v>
      </x:c>
      <x:c r="Y125" s="260">
        <x:f t="shared" si="146"/>
        <x:v>2708.5433812657502</x:v>
      </x:c>
      <x:c r="Z125" s="260">
        <x:f t="shared" si="147"/>
        <x:v>-1012.5086495752316</x:v>
      </x:c>
      <x:c r="AA125" s="260">
        <x:f t="shared" si="148"/>
        <x:v>1837.7558502370716</x:v>
      </x:c>
      <x:c r="AB125" s="260">
        <x:f t="shared" si="149"/>
        <x:v>1573.6245827959133</x:v>
      </x:c>
      <x:c r="AC125" s="260">
        <x:f t="shared" si="150"/>
        <x:v>-1276.6399170163904</x:v>
      </x:c>
      <x:c r="AD125" s="260"/>
      <x:c r="AE125" s="282">
        <x:f t="shared" si="39"/>
        <x:v>0</x:v>
      </x:c>
      <x:c r="AF125" s="282">
        <x:f t="shared" si="10"/>
        <x:v>1122.2318664413629</x:v>
      </x:c>
      <x:c r="AJ125" s="272">
        <x:f t="shared" si="130"/>
        <x:v>202.50172991504633</x:v>
      </x:c>
      <x:c r="AK125" s="272">
        <x:f t="shared" si="131"/>
        <x:v>-183.77558502370718</x:v>
      </x:c>
      <x:c r="AL125" s="272">
        <x:f t="shared" si="132"/>
        <x:v>157.36245827959135</x:v>
      </x:c>
      <x:c r="AM125" s="272">
        <x:f t="shared" si="133"/>
        <x:v>-255.3279834032781</x:v>
      </x:c>
      <x:c r="AN125" s="272">
        <x:f t="shared" si="134"/>
        <x:v>-563.59002689733461</x:v>
      </x:c>
      <x:c r="AO125" s="272">
        <x:f t="shared" si="135"/>
        <x:v>-406.31970773107554</x:v>
      </x:c>
      <x:c r="AP125" s="272">
        <x:f t="shared" si="136"/>
        <x:v>-417.2603830531678</x:v>
      </x:c>
      <x:c r="AQ125" s="272">
        <x:f t="shared" si="137"/>
        <x:v>-541.70867625315009</x:v>
      </x:c>
      <x:c r="AR125" s="272"/>
      <x:c r="AS125" s="286">
        <x:f t="shared" si="32"/>
        <x:v>-79.2393802323476</x:v>
      </x:c>
      <x:c r="AT125" s="286">
        <x:f t="shared" si="33"/>
        <x:v>-1928.878793934728</x:v>
      </x:c>
      <x:c r="AY125" s="279">
        <x:f t="shared" si="138"/>
        <x:v>-91.221456322741133</x:v>
      </x:c>
      <x:c r="AZ125" s="279">
        <x:f t="shared" si="139"/>
        <x:v>91.221456322741133</x:v>
      </x:c>
      <x:c r="BA125" s="279">
        <x:f t="shared" si="140"/>
        <x:v>-545.11792796512384</x:v>
      </x:c>
      <x:c r="BB125" s="279">
        <x:f t="shared" si="141"/>
        <x:v>-545.11792796512384</x:v>
      </x:c>
      <x:c r="BC125" s="279"/>
      <x:c r="BD125" s="289">
        <x:f t="shared" si="151"/>
        <x:v>0</x:v>
      </x:c>
      <x:c r="BE125" s="289">
        <x:f t="shared" si="152"/>
        <x:v>-1090.2358559302477</x:v>
      </x:c>
    </x:row>
    <x:row r="126" ht="15.75" customHeight="1">
      <x:c r="A126" s="21">
        <x:v>188</x:v>
      </x:c>
      <x:c r="B126" s="21">
        <x:f t="shared" si="19"/>
        <x:v>368</x:v>
      </x:c>
      <x:c r="C126" s="21">
        <x:f t="shared" si="0"/>
        <x:v>368</x:v>
      </x:c>
      <x:c r="D126" s="21">
        <x:f t="shared" si="20"/>
        <x:v>188</x:v>
      </x:c>
      <x:c r="E126" s="22" t="n">
        <x:f t="shared" ref="E126:H126" si="181">A126*PI()/180</x:f>
        <x:v>3.2812189937493397</x:v>
      </x:c>
      <x:c r="F126" s="22">
        <x:f t="shared" si="181"/>
        <x:v>6.4228116473391319</x:v>
      </x:c>
      <x:c r="G126" s="22">
        <x:f t="shared" si="181"/>
        <x:v>6.4228116473391319</x:v>
      </x:c>
      <x:c r="H126" s="22">
        <x:f t="shared" si="181"/>
        <x:v>3.2812189937493397</x:v>
      </x:c>
      <x:c r="I126" s="23"/>
      <x:c r="J126" s="23"/>
      <x:c r="K126" s="23"/>
      <x:c r="L126" s="249">
        <x:f t="shared" si="122"/>
        <x:v>-190.32472551310039</x:v>
      </x:c>
      <x:c r="M126" s="249">
        <x:f t="shared" si="123"/>
        <x:v>190.32472551309903</x:v>
      </x:c>
      <x:c r="N126" s="249">
        <x:f t="shared" si="124"/>
        <x:v>190.32472551309903</x:v>
      </x:c>
      <x:c r="O126" s="249">
        <x:f t="shared" si="125"/>
        <x:v>-190.32472551310039</x:v>
      </x:c>
      <x:c r="P126" s="249">
        <x:f t="shared" si="126"/>
        <x:v>-2987.644202915485</x:v>
      </x:c>
      <x:c r="Q126" s="249">
        <x:f t="shared" si="127"/>
        <x:v>4428.5984233809477</x:v>
      </x:c>
      <x:c r="R126" s="249">
        <x:f t="shared" si="128"/>
        <x:v>4428.5984233809477</x:v>
      </x:c>
      <x:c r="S126" s="249">
        <x:f t="shared" si="129"/>
        <x:v>-2987.644202915485</x:v>
      </x:c>
      <x:c r="T126" s="23"/>
      <x:c r="U126" s="23"/>
      <x:c r="V126" s="260">
        <x:f t="shared" si="143"/>
        <x:v>-2833.057448722911</x:v>
      </x:c>
      <x:c r="W126" s="260">
        <x:f t="shared" si="144"/>
        <x:v>-4018.6573218501148</x:v>
      </x:c>
      <x:c r="X126" s="260">
        <x:f t="shared" si="145"/>
        <x:v>4164.3255602967074</x:v>
      </x:c>
      <x:c r="Y126" s="260">
        <x:f t="shared" si="146"/>
        <x:v>2687.389210276317</x:v>
      </x:c>
      <x:c r="Z126" s="260">
        <x:f t="shared" si="147"/>
        <x:v>-967.48481982497856</x:v>
      </x:c>
      <x:c r="AA126" s="260">
        <x:f t="shared" si="148"/>
        <x:v>1870.5883636584274</x:v>
      </x:c>
      <x:c r="AB126" s="260">
        <x:f t="shared" si="149"/>
        <x:v>1518.9141267936654</x:v>
      </x:c>
      <x:c r="AC126" s="260">
        <x:f t="shared" si="150"/>
        <x:v>-1319.1590566897428</x:v>
      </x:c>
      <x:c r="AD126" s="260"/>
      <x:c r="AE126" s="282">
        <x:f t="shared" si="39"/>
        <x:v>0</x:v>
      </x:c>
      <x:c r="AF126" s="282">
        <x:f t="shared" si="10"/>
        <x:v>1102.8586139373713</x:v>
      </x:c>
      <x:c r="AJ126" s="272">
        <x:f t="shared" si="130"/>
        <x:v>193.49696396499573</x:v>
      </x:c>
      <x:c r="AK126" s="272">
        <x:f t="shared" si="131"/>
        <x:v>-187.05883636584275</x:v>
      </x:c>
      <x:c r="AL126" s="272">
        <x:f t="shared" si="132"/>
        <x:v>151.89141267936654</x:v>
      </x:c>
      <x:c r="AM126" s="272">
        <x:f t="shared" si="133"/>
        <x:v>-263.83181133794858</x:v>
      </x:c>
      <x:c r="AN126" s="272">
        <x:f t="shared" si="134"/>
        <x:v>-566.61148974458217</x:v>
      </x:c>
      <x:c r="AO126" s="272">
        <x:f t="shared" si="135"/>
        <x:v>-401.8657321850115</x:v>
      </x:c>
      <x:c r="AP126" s="272">
        <x:f t="shared" si="136"/>
        <x:v>-416.43255602967076</x:v>
      </x:c>
      <x:c r="AQ126" s="272">
        <x:f t="shared" si="137"/>
        <x:v>-537.47784205526341</x:v>
      </x:c>
      <x:c r="AR126" s="272"/>
      <x:c r="AS126" s="286">
        <x:f t="shared" si="32"/>
        <x:v>-105.50227105942906</x:v>
      </x:c>
      <x:c r="AT126" s="286">
        <x:f t="shared" si="33"/>
        <x:v>-1922.3876200145278</x:v>
      </x:c>
      <x:c r="AY126" s="279">
        <x:f t="shared" si="138"/>
        <x:v>-129.02474986946402</x:v>
      </x:c>
      <x:c r="AZ126" s="279">
        <x:f t="shared" si="139"/>
        <x:v>129.02474986946402</x:v>
      </x:c>
      <x:c r="BA126" s="279">
        <x:f t="shared" si="140"/>
        <x:v>-537.42676096725393</x:v>
      </x:c>
      <x:c r="BB126" s="279">
        <x:f t="shared" si="141"/>
        <x:v>-537.42676096725393</x:v>
      </x:c>
      <x:c r="BC126" s="279"/>
      <x:c r="BD126" s="289">
        <x:f t="shared" si="151"/>
        <x:v>0</x:v>
      </x:c>
      <x:c r="BE126" s="289">
        <x:f t="shared" si="152"/>
        <x:v>-1074.8535219345079</x:v>
      </x:c>
    </x:row>
    <x:row r="127" ht="15.75" customHeight="1">
      <x:c r="A127" s="21">
        <x:v>190</x:v>
      </x:c>
      <x:c r="B127" s="21">
        <x:f t="shared" si="19"/>
        <x:v>370</x:v>
      </x:c>
      <x:c r="C127" s="21">
        <x:f t="shared" si="0"/>
        <x:v>370</x:v>
      </x:c>
      <x:c r="D127" s="21">
        <x:f t="shared" si="20"/>
        <x:v>190</x:v>
      </x:c>
      <x:c r="E127" s="22" t="n">
        <x:f t="shared" ref="E127:H127" si="182">A127*PI()/180</x:f>
        <x:v>3.3161255787892263</x:v>
      </x:c>
      <x:c r="F127" s="22">
        <x:f t="shared" si="182"/>
        <x:v>6.457718232379019</x:v>
      </x:c>
      <x:c r="G127" s="22">
        <x:f t="shared" si="182"/>
        <x:v>6.457718232379019</x:v>
      </x:c>
      <x:c r="H127" s="22">
        <x:f t="shared" si="182"/>
        <x:v>3.3161255787892263</x:v>
      </x:c>
      <x:c r="I127" s="23"/>
      <x:c r="J127" s="23"/>
      <x:c r="K127" s="23"/>
      <x:c r="L127" s="249">
        <x:f t="shared" si="122"/>
        <x:v>-237.47075779961176</x:v>
      </x:c>
      <x:c r="M127" s="249">
        <x:f t="shared" si="123"/>
        <x:v>237.47075779961099</x:v>
      </x:c>
      <x:c r="N127" s="249">
        <x:f t="shared" si="124"/>
        <x:v>237.47075779961099</x:v>
      </x:c>
      <x:c r="O127" s="249">
        <x:f t="shared" si="125"/>
        <x:v>-237.47075779961176</x:v>
      </x:c>
      <x:c r="P127" s="249">
        <x:f t="shared" si="126"/>
        <x:v>-2983.3639850536924</x:v>
      </x:c>
      <x:c r="Q127" s="249">
        <x:f t="shared" si="127"/>
        <x:v>4391.9856471703433</x:v>
      </x:c>
      <x:c r="R127" s="249">
        <x:f t="shared" si="128"/>
        <x:v>4391.9856471703433</x:v>
      </x:c>
      <x:c r="S127" s="249">
        <x:f t="shared" si="129"/>
        <x:v>-2983.3639850536924</x:v>
      </x:c>
      <x:c r="T127" s="23"/>
      <x:c r="U127" s="23"/>
      <x:c r="V127" s="260">
        <x:f t="shared" si="143"/>
        <x:v>-2847.1450485035093</x:v>
      </x:c>
      <x:c r="W127" s="260">
        <x:f t="shared" si="144"/>
        <x:v>-3966.7895218229237</x:v>
      </x:c>
      <x:c r="X127" s="260">
        <x:f t="shared" si="145"/>
        <x:v>4148.5417711851114</x:v>
      </x:c>
      <x:c r="Y127" s="260">
        <x:f t="shared" si="146"/>
        <x:v>2665.3927991413202</x:v>
      </x:c>
      <x:c r="Z127" s="260">
        <x:f t="shared" si="147"/>
        <x:v>-922.28959709373328</x:v>
      </x:c>
      <x:c r="AA127" s="260">
        <x:f t="shared" si="148"/>
        <x:v>1900.1345150583629</x:v>
      </x:c>
      <x:c r="AB127" s="260">
        <x:f t="shared" si="149"/>
        <x:v>1461.3457696563519</x:v>
      </x:c>
      <x:c r="AC127" s="260">
        <x:f t="shared" si="150"/>
        <x:v>-1361.0783424957458</x:v>
      </x:c>
      <x:c r="AD127" s="260"/>
      <x:c r="AE127" s="282">
        <x:f t="shared" si="39"/>
        <x:v>0</x:v>
      </x:c>
      <x:c r="AF127" s="282">
        <x:f t="shared" si="10"/>
        <x:v>1078.1123451252356</x:v>
      </x:c>
      <x:c r="AJ127" s="272">
        <x:f t="shared" si="130"/>
        <x:v>184.45791941874666</x:v>
      </x:c>
      <x:c r="AK127" s="272">
        <x:f t="shared" si="131"/>
        <x:v>-190.01345150583631</x:v>
      </x:c>
      <x:c r="AL127" s="272">
        <x:f t="shared" si="132"/>
        <x:v>146.1345769656352</x:v>
      </x:c>
      <x:c r="AM127" s="272">
        <x:f t="shared" si="133"/>
        <x:v>-272.21566849914916</x:v>
      </x:c>
      <x:c r="AN127" s="272">
        <x:f t="shared" si="134"/>
        <x:v>-569.42900970070184</x:v>
      </x:c>
      <x:c r="AO127" s="272">
        <x:f t="shared" si="135"/>
        <x:v>-396.67895218229239</x:v>
      </x:c>
      <x:c r="AP127" s="272">
        <x:f t="shared" si="136"/>
        <x:v>-414.85417711851119</x:v>
      </x:c>
      <x:c r="AQ127" s="272">
        <x:f t="shared" si="137"/>
        <x:v>-533.07855982826402</x:v>
      </x:c>
      <x:c r="AR127" s="272"/>
      <x:c r="AS127" s="286">
        <x:f t="shared" si="32"/>
        <x:v>-131.63662362060361</x:v>
      </x:c>
      <x:c r="AT127" s="286">
        <x:f t="shared" si="33"/>
        <x:v>-1914.0406988297696</x:v>
      </x:c>
      <x:c r="AY127" s="279">
        <x:f t="shared" si="138"/>
        <x:v>-166.19944780434633</x:v>
      </x:c>
      <x:c r="AZ127" s="279">
        <x:f t="shared" si="139"/>
        <x:v>166.19944780434633</x:v>
      </x:c>
      <x:c r="BA127" s="279">
        <x:f t="shared" si="140"/>
        <x:v>-527.11730481190045</x:v>
      </x:c>
      <x:c r="BB127" s="279">
        <x:f t="shared" si="141"/>
        <x:v>-527.11730481190045</x:v>
      </x:c>
      <x:c r="BC127" s="279"/>
      <x:c r="BD127" s="289">
        <x:f t="shared" si="151"/>
        <x:v>0</x:v>
      </x:c>
      <x:c r="BE127" s="289">
        <x:f t="shared" si="152"/>
        <x:v>-1054.2346096238009</x:v>
      </x:c>
    </x:row>
    <x:row r="128" ht="15.75" customHeight="1">
      <x:c r="A128" s="21">
        <x:v>192</x:v>
      </x:c>
      <x:c r="B128" s="21">
        <x:f t="shared" si="19"/>
        <x:v>372</x:v>
      </x:c>
      <x:c r="C128" s="21">
        <x:f t="shared" si="0"/>
        <x:v>372</x:v>
      </x:c>
      <x:c r="D128" s="21">
        <x:f t="shared" si="20"/>
        <x:v>192</x:v>
      </x:c>
      <x:c r="E128" s="22" t="n">
        <x:f t="shared" ref="E128:H128" si="183">A128*PI()/180</x:f>
        <x:v>3.3510321638291125</x:v>
      </x:c>
      <x:c r="F128" s="22">
        <x:f t="shared" si="183"/>
        <x:v>6.4926248174189052</x:v>
      </x:c>
      <x:c r="G128" s="22">
        <x:f t="shared" si="183"/>
        <x:v>6.4926248174189052</x:v>
      </x:c>
      <x:c r="H128" s="22">
        <x:f t="shared" si="183"/>
        <x:v>3.3510321638291125</x:v>
      </x:c>
      <x:c r="I128" s="23"/>
      <x:c r="J128" s="23"/>
      <x:c r="K128" s="23"/>
      <x:c r="L128" s="249" t="n">
        <x:f t="shared" ref="L128:L159" si="184">Mrot*Omega^2*$C$6*SIN(E128)</x:f>
        <x:v>-284.3274685473097</x:v>
      </x:c>
      <x:c r="M128" s="249" t="n">
        <x:f t="shared" ref="M128:M159" si="185">Mrot*Omega^2*$C$6*SIN(F128)</x:f>
        <x:v>284.32746854730897</x:v>
      </x:c>
      <x:c r="N128" s="249" t="n">
        <x:f t="shared" ref="N128:N159" si="186">Mrot*Omega^2*$C$6*SIN(G128)</x:f>
        <x:v>284.32746854730897</x:v>
      </x:c>
      <x:c r="O128" s="249" t="n">
        <x:f t="shared" ref="O128:O159" si="187">Mrot*Omega^2*$C$6*SIN(H128)</x:f>
        <x:v>-284.3274685473097</x:v>
      </x:c>
      <x:c r="P128" s="249" t="n">
        <x:f t="shared" ref="P128:P159" si="188">(Mrot+Malt)*(Omega^2)*$C$6*COS(E128)+Malt*(Omega^2)*$C$6*lambda*COS(2*E128)</x:f>
        <x:v>-2978.0222350430654</x:v>
      </x:c>
      <x:c r="Q128" s="249" t="n">
        <x:f t="shared" ref="Q128:Q159" si="189">(Mrot+Malt)*Omega^2*$C$6*COS(F128)+Malt*Omega^2*$C$6*lambda*COS(2*F128)</x:f>
        <x:v>4347.448675667228</x:v>
      </x:c>
      <x:c r="R128" s="249" t="n">
        <x:f t="shared" ref="R128:R159" si="190">(Mrot+Malt)*Omega^2*$C$6*COS(G128)+Malt*Omega^2*$C$6*lambda*COS(2*G128)</x:f>
        <x:v>4347.448675667228</x:v>
      </x:c>
      <x:c r="S128" s="249" t="n">
        <x:f t="shared" ref="S128:S159" si="191">(Mrot+Malt)*Omega^2*$C$6*COS(H128)+Malt*Omega^2*$C$6*lambda*COS(2*H128)</x:f>
        <x:v>-2978.0222350430654</x:v>
      </x:c>
      <x:c r="T128" s="23"/>
      <x:c r="U128" s="23"/>
      <x:c r="V128" s="260">
        <x:f t="shared" si="143"/>
        <x:v>-2860.1412018991659</x:v>
      </x:c>
      <x:c r="W128" s="260">
        <x:f t="shared" si="144"/>
        <x:v>-3907.7114385128898</x:v>
      </x:c>
      <x:c r="X128" s="260">
        <x:f t="shared" si="145"/>
        <x:v>4125.326261671612</x:v>
      </x:c>
      <x:c r="Y128" s="260">
        <x:f t="shared" si="146"/>
        <x:v>2642.5263787404429</x:v>
      </x:c>
      <x:c r="Z128" s="260">
        <x:f t="shared" si="147"/>
        <x:v>-876.95544184423056</x:v>
      </x:c>
      <x:c r="AA128" s="260">
        <x:f t="shared" si="148"/>
        <x:v>1926.3809099570044</x:v>
      </x:c>
      <x:c r="AB128" s="260">
        <x:f t="shared" si="149"/>
        <x:v>1401.0122525137936</x:v>
      </x:c>
      <x:c r="AC128" s="260">
        <x:f t="shared" si="150"/>
        <x:v>-1402.3240992874428</x:v>
      </x:c>
      <x:c r="AD128" s="260"/>
      <x:c r="AE128" s="282">
        <x:f t="shared" si="39"/>
        <x:v>0</x:v>
      </x:c>
      <x:c r="AF128" s="282">
        <x:f t="shared" si="10"/>
        <x:v>1048.1136213391244</x:v>
      </x:c>
      <x:c r="AJ128" s="272" t="n">
        <x:f t="shared" ref="AJ128:AJ159" si="192">-Z128*O_O1</x:f>
        <x:v>175.3910883688461</x:v>
      </x:c>
      <x:c r="AK128" s="272" t="n">
        <x:f t="shared" ref="AK128:AK159" si="193">-AA128*O_O2</x:f>
        <x:v>-192.63809099570045</x:v>
      </x:c>
      <x:c r="AL128" s="272" t="n">
        <x:f t="shared" ref="AL128:AL159" si="194">AB128*O_O3</x:f>
        <x:v>140.10122525137936</x:v>
      </x:c>
      <x:c r="AM128" s="272" t="n">
        <x:f t="shared" ref="AM128:AM159" si="195">AC128*O_O4</x:f>
        <x:v>-280.4648198574886</x:v>
      </x:c>
      <x:c r="AN128" s="272" t="n">
        <x:f t="shared" ref="AN128:AN159" si="196">V128*O_O1</x:f>
        <x:v>-572.0282403798332</x:v>
      </x:c>
      <x:c r="AO128" s="272" t="n">
        <x:f t="shared" ref="AO128:AO159" si="197">W128*O_O2</x:f>
        <x:v>-390.771143851289</x:v>
      </x:c>
      <x:c r="AP128" s="272" t="n">
        <x:f t="shared" ref="AP128:AP159" si="198">-X128*O_O3</x:f>
        <x:v>-412.5326261671612</x:v>
      </x:c>
      <x:c r="AQ128" s="272" t="n">
        <x:f t="shared" ref="AQ128:AQ159" si="199">-Y128*O_O4</x:f>
        <x:v>-528.5052757480886</x:v>
      </x:c>
      <x:c r="AR128" s="272"/>
      <x:c r="AS128" s="286">
        <x:f t="shared" si="32"/>
        <x:v>-157.61059723296356</x:v>
      </x:c>
      <x:c r="AT128" s="286">
        <x:f t="shared" si="33"/>
        <x:v>-1903.8372861463718</x:v>
      </x:c>
      <x:c r="AY128" s="279" t="n">
        <x:f t="shared" ref="AY128:AY159" si="200">m1_*R_den*wm^2*SIN(RADIANS(Vdeg/2+r_*A128+phy_deg))</x:f>
        <x:v>-202.564438735835</x:v>
      </x:c>
      <x:c r="AZ128" s="279" t="n">
        <x:f t="shared" ref="AZ128:AZ159" si="201">m2_*R_den*wm^2*SIN(RADIANS(-(Vdeg/2+r_*A128+phy_deg)))</x:f>
        <x:v>202.564438735835</x:v>
      </x:c>
      <x:c r="BA128" s="279" t="n">
        <x:f t="shared" ref="BA128:BA159" si="202">m1_*R_den*wm^2*COS(RADIANS(Vdeg/2+r_*A128+phy_deg))</x:f>
        <x:v>-514.23978613315</x:v>
      </x:c>
      <x:c r="BB128" s="279" t="n">
        <x:f t="shared" ref="BB128:BB159" si="203">m2_*R_den*wm^2*COS(RADIANS(-(Vdeg/2+r_*A128+phy_deg)))</x:f>
        <x:v>-514.23978613315</x:v>
      </x:c>
      <x:c r="BC128" s="279"/>
      <x:c r="BD128" s="289">
        <x:f t="shared" si="151"/>
        <x:v>0</x:v>
      </x:c>
      <x:c r="BE128" s="289">
        <x:f t="shared" si="152"/>
        <x:v>-1028.4795722663</x:v>
      </x:c>
    </x:row>
    <x:row r="129" ht="15.75" customHeight="1">
      <x:c r="A129" s="21">
        <x:v>194</x:v>
      </x:c>
      <x:c r="B129" s="21">
        <x:f t="shared" si="19"/>
        <x:v>374</x:v>
      </x:c>
      <x:c r="C129" s="21">
        <x:f t="shared" si="0"/>
        <x:v>374</x:v>
      </x:c>
      <x:c r="D129" s="21">
        <x:f t="shared" si="20"/>
        <x:v>194</x:v>
      </x:c>
      <x:c r="E129" s="22" t="n">
        <x:f t="shared" ref="E129:H129" si="204">A129*PI()/180</x:f>
        <x:v>3.385938748868999</x:v>
      </x:c>
      <x:c r="F129" s="22">
        <x:f t="shared" si="204"/>
        <x:v>6.5275314024587932</x:v>
      </x:c>
      <x:c r="G129" s="22">
        <x:f t="shared" si="204"/>
        <x:v>6.5275314024587932</x:v>
      </x:c>
      <x:c r="H129" s="22">
        <x:f t="shared" si="204"/>
        <x:v>3.3859387488689991</x:v>
      </x:c>
      <x:c r="I129" s="23"/>
      <x:c r="J129" s="23"/>
      <x:c r="K129" s="23"/>
      <x:c r="L129" s="249">
        <x:f t="shared" si="184"/>
        <x:v>-330.83777007187246</x:v>
      </x:c>
      <x:c r="M129" s="249">
        <x:f t="shared" si="185"/>
        <x:v>330.83777007187348</x:v>
      </x:c>
      <x:c r="N129" s="249">
        <x:f t="shared" si="186"/>
        <x:v>330.83777007187348</x:v>
      </x:c>
      <x:c r="O129" s="249">
        <x:f t="shared" si="187"/>
        <x:v>-330.83777007187246</x:v>
      </x:c>
      <x:c r="P129" s="249">
        <x:f t="shared" si="188"/>
        <x:v>-2971.5538600634613</x:v>
      </x:c>
      <x:c r="Q129" s="249">
        <x:f t="shared" si="189"/>
        <x:v>4295.1133712306764</x:v>
      </x:c>
      <x:c r="R129" s="249">
        <x:f t="shared" si="190"/>
        <x:v>4295.1133712306764</x:v>
      </x:c>
      <x:c r="S129" s="249">
        <x:f t="shared" si="191"/>
        <x:v>-2971.5538600634613</x:v>
      </x:c>
      <x:c r="T129" s="23"/>
      <x:c r="U129" s="23"/>
      <x:c r="V129" s="260">
        <x:f t="shared" si="143"/>
        <x:v>-2871.9639244746568</x:v>
      </x:c>
      <x:c r="W129" s="260">
        <x:f t="shared" si="144"/>
        <x:v>-3841.5612000884571</x:v>
      </x:c>
      <x:c r="X129" s="260">
        <x:f t="shared" si="145"/>
        <x:v>4094.7734669026909</x:v>
      </x:c>
      <x:c r="Y129" s="260">
        <x:f t="shared" si="146"/>
        <x:v>2618.7516576604239</x:v>
      </x:c>
      <x:c r="Z129" s="260">
        <x:f t="shared" si="147"/>
        <x:v>-831.5101862757391</x:v>
      </x:c>
      <x:c r="AA129" s="260">
        <x:f t="shared" si="148"/>
        <x:v>1949.3229716508267</x:v>
      </x:c>
      <x:c r="AB129" s="260">
        <x:f t="shared" si="149"/>
        <x:v>1338.0144829486685</x:v>
      </x:c>
      <x:c r="AC129" s="260">
        <x:f t="shared" si="150"/>
        <x:v>-1442.8186749778952</x:v>
      </x:c>
      <x:c r="AD129" s="260"/>
      <x:c r="AE129" s="282">
        <x:f t="shared" si="39"/>
        <x:v>0</x:v>
      </x:c>
      <x:c r="AF129" s="282">
        <x:f t="shared" si="10"/>
        <x:v>1013.0085933458608</x:v>
      </x:c>
      <x:c r="AJ129" s="272">
        <x:f t="shared" si="192"/>
        <x:v>166.30203725514784</x:v>
      </x:c>
      <x:c r="AK129" s="272">
        <x:f t="shared" si="193"/>
        <x:v>-194.93229716508267</x:v>
      </x:c>
      <x:c r="AL129" s="272">
        <x:f t="shared" si="194"/>
        <x:v>133.80144829486684</x:v>
      </x:c>
      <x:c r="AM129" s="272">
        <x:f t="shared" si="195"/>
        <x:v>-288.56373499557907</x:v>
      </x:c>
      <x:c r="AN129" s="272">
        <x:f t="shared" si="196"/>
        <x:v>-574.39278489493142</x:v>
      </x:c>
      <x:c r="AO129" s="272">
        <x:f t="shared" si="197"/>
        <x:v>-384.15612000884573</x:v>
      </x:c>
      <x:c r="AP129" s="272">
        <x:f t="shared" si="198"/>
        <x:v>-409.47734669026909</x:v>
      </x:c>
      <x:c r="AQ129" s="272">
        <x:f t="shared" si="199"/>
        <x:v>-523.75033153208483</x:v>
      </x:c>
      <x:c r="AR129" s="272"/>
      <x:c r="AS129" s="286">
        <x:f t="shared" si="32"/>
        <x:v>-183.39254661064706</x:v>
      </x:c>
      <x:c r="AT129" s="286">
        <x:f t="shared" si="33"/>
        <x:v>-1891.7765831261311</x:v>
      </x:c>
      <x:c r="AY129" s="279">
        <x:f t="shared" si="200"/>
        <x:v>-237.94255608350977</x:v>
      </x:c>
      <x:c r="AZ129" s="279">
        <x:f t="shared" si="201"/>
        <x:v>237.94255608350977</x:v>
      </x:c>
      <x:c r="BA129" s="279">
        <x:f t="shared" si="202"/>
        <x:v>-498.85694290756089</x:v>
      </x:c>
      <x:c r="BB129" s="279">
        <x:f t="shared" si="203"/>
        <x:v>-498.85694290756089</x:v>
      </x:c>
      <x:c r="BC129" s="279"/>
      <x:c r="BD129" s="289">
        <x:f t="shared" si="151"/>
        <x:v>0</x:v>
      </x:c>
      <x:c r="BE129" s="289">
        <x:f t="shared" si="152"/>
        <x:v>-997.71388581512178</x:v>
      </x:c>
    </x:row>
    <x:row r="130" ht="15.75" customHeight="1">
      <x:c r="A130" s="21">
        <x:v>196</x:v>
      </x:c>
      <x:c r="B130" s="21">
        <x:f t="shared" si="19"/>
        <x:v>376</x:v>
      </x:c>
      <x:c r="C130" s="21">
        <x:f t="shared" si="0"/>
        <x:v>376</x:v>
      </x:c>
      <x:c r="D130" s="21">
        <x:f t="shared" si="20"/>
        <x:v>196</x:v>
      </x:c>
      <x:c r="E130" s="22" t="n">
        <x:f t="shared" ref="E130:H130" si="205">A130*PI()/180</x:f>
        <x:v>3.420845333908886</x:v>
      </x:c>
      <x:c r="F130" s="22">
        <x:f t="shared" si="205"/>
        <x:v>6.5624379874986793</x:v>
      </x:c>
      <x:c r="G130" s="22">
        <x:f t="shared" si="205"/>
        <x:v>6.5624379874986793</x:v>
      </x:c>
      <x:c r="H130" s="22">
        <x:f t="shared" si="205"/>
        <x:v>3.4208453339088858</x:v>
      </x:c>
      <x:c r="I130" s="23"/>
      <x:c r="J130" s="23"/>
      <x:c r="K130" s="23"/>
      <x:c r="L130" s="249">
        <x:f t="shared" si="184"/>
        <x:v>-376.94499673525434</x:v>
      </x:c>
      <x:c r="M130" s="249">
        <x:f t="shared" si="185"/>
        <x:v>376.94499673525479</x:v>
      </x:c>
      <x:c r="N130" s="249">
        <x:f t="shared" si="186"/>
        <x:v>376.94499673525479</x:v>
      </x:c>
      <x:c r="O130" s="249">
        <x:f t="shared" si="187"/>
        <x:v>-376.94499673525434</x:v>
      </x:c>
      <x:c r="P130" s="249">
        <x:f t="shared" si="188"/>
        <x:v>-2963.8829521926655</x:v>
      </x:c>
      <x:c r="Q130" s="249">
        <x:f t="shared" si="189"/>
        <x:v>4235.127285008266</x:v>
      </x:c>
      <x:c r="R130" s="249">
        <x:f t="shared" si="190"/>
        <x:v>4235.127285008266</x:v>
      </x:c>
      <x:c r="S130" s="249">
        <x:f t="shared" si="191"/>
        <x:v>-2963.8829521926655</x:v>
      </x:c>
      <x:c r="T130" s="23"/>
      <x:c r="U130" s="23"/>
      <x:c r="V130" s="260">
        <x:f t="shared" si="143"/>
        <x:v>-2882.5214014534267</x:v>
      </x:c>
      <x:c r="W130" s="260">
        <x:f t="shared" si="144"/>
        <x:v>-3768.4968110357368</x:v>
      </x:c>
      <x:c r="X130" s="260">
        <x:f t="shared" si="145"/>
        <x:v>4056.9980213627268</x:v>
      </x:c>
      <x:c r="Y130" s="260">
        <x:f t="shared" si="146"/>
        <x:v>2594.0201911264376</x:v>
      </x:c>
      <x:c r="Z130" s="260">
        <x:f t="shared" si="147"/>
        <x:v>-785.97713390722947</x:v>
      </x:c>
      <x:c r="AA130" s="260">
        <x:f t="shared" si="148"/>
        <x:v>1968.9648132962432</x:v>
      </x:c>
      <x:c r="AB130" s="260">
        <x:f t="shared" si="149"/>
        <x:v>1272.4612785637717</x:v>
      </x:c>
      <x:c r="AC130" s="260">
        <x:f t="shared" si="150"/>
        <x:v>-1482.4806686397001</x:v>
      </x:c>
      <x:c r="AD130" s="260"/>
      <x:c r="AE130" s="282">
        <x:f t="shared" si="39"/>
        <x:v>0</x:v>
      </x:c>
      <x:c r="AF130" s="282">
        <x:f t="shared" si="10"/>
        <x:v>972.96828931308528</x:v>
      </x:c>
      <x:c r="AJ130" s="272">
        <x:f t="shared" si="192"/>
        <x:v>157.19542678144592</x:v>
      </x:c>
      <x:c r="AK130" s="272">
        <x:f t="shared" si="193"/>
        <x:v>-196.89648132962432</x:v>
      </x:c>
      <x:c r="AL130" s="272">
        <x:f t="shared" si="194"/>
        <x:v>127.24612785637717</x:v>
      </x:c>
      <x:c r="AM130" s="272">
        <x:f t="shared" si="195"/>
        <x:v>-296.49613372794005</x:v>
      </x:c>
      <x:c r="AN130" s="272">
        <x:f t="shared" si="196"/>
        <x:v>-576.50428029068541</x:v>
      </x:c>
      <x:c r="AO130" s="272">
        <x:f t="shared" si="197"/>
        <x:v>-376.84968110357369</x:v>
      </x:c>
      <x:c r="AP130" s="272">
        <x:f t="shared" si="198"/>
        <x:v>-405.69980213627269</x:v>
      </x:c>
      <x:c r="AQ130" s="272">
        <x:f t="shared" si="199"/>
        <x:v>-518.80403822528751</x:v>
      </x:c>
      <x:c r="AR130" s="272"/>
      <x:c r="AS130" s="286">
        <x:f t="shared" si="32"/>
        <x:v>-208.95106041974128</x:v>
      </x:c>
      <x:c r="AT130" s="286">
        <x:f t="shared" si="33"/>
        <x:v>-1877.8578017558193</x:v>
      </x:c>
      <x:c r="AY130" s="279">
        <x:f t="shared" si="200"/>
        <x:v>-272.16144121584688</x:v>
      </x:c>
      <x:c r="AZ130" s="279">
        <x:f t="shared" si="201"/>
        <x:v>272.16144121584688</x:v>
      </x:c>
      <x:c r="BA130" s="279">
        <x:f t="shared" si="202"/>
        <x:v>-481.04371880105123</x:v>
      </x:c>
      <x:c r="BB130" s="279">
        <x:f t="shared" si="203"/>
        <x:v>-481.04371880105123</x:v>
      </x:c>
      <x:c r="BC130" s="279"/>
      <x:c r="BD130" s="289">
        <x:f t="shared" si="151"/>
        <x:v>0</x:v>
      </x:c>
      <x:c r="BE130" s="289">
        <x:f t="shared" si="152"/>
        <x:v>-962.08743760210245</x:v>
      </x:c>
    </x:row>
    <x:row r="131" ht="15.75" customHeight="1">
      <x:c r="A131" s="21">
        <x:v>198</x:v>
      </x:c>
      <x:c r="B131" s="21">
        <x:f t="shared" si="19"/>
        <x:v>378</x:v>
      </x:c>
      <x:c r="C131" s="21">
        <x:f t="shared" si="0"/>
        <x:v>378</x:v>
      </x:c>
      <x:c r="D131" s="21">
        <x:f t="shared" si="20"/>
        <x:v>198</x:v>
      </x:c>
      <x:c r="E131" s="22" t="n">
        <x:f t="shared" ref="E131:H131" si="206">A131*PI()/180</x:f>
        <x:v>3.455751918948773</x:v>
      </x:c>
      <x:c r="F131" s="22">
        <x:f t="shared" si="206"/>
        <x:v>6.5973445725385655</x:v>
      </x:c>
      <x:c r="G131" s="22">
        <x:f t="shared" si="206"/>
        <x:v>6.5973445725385655</x:v>
      </x:c>
      <x:c r="H131" s="22">
        <x:f t="shared" si="206"/>
        <x:v>3.4557519189487729</x:v>
      </x:c>
      <x:c r="I131" s="23"/>
      <x:c r="J131" s="23"/>
      <x:c r="K131" s="23"/>
      <x:c r="L131" s="249">
        <x:f t="shared" si="184"/>
        <x:v>-422.59297398404055</x:v>
      </x:c>
      <x:c r="M131" s="249">
        <x:f t="shared" si="185"/>
        <x:v>422.59297398403982</x:v>
      </x:c>
      <x:c r="N131" s="249">
        <x:f t="shared" si="186"/>
        <x:v>422.59297398403982</x:v>
      </x:c>
      <x:c r="O131" s="249">
        <x:f t="shared" si="187"/>
        <x:v>-422.59297398404055</x:v>
      </x:c>
      <x:c r="P131" s="249">
        <x:f t="shared" si="188"/>
        <x:v>-2954.9232890983358</x:v>
      </x:c>
      <x:c r="Q131" s="249">
        <x:f t="shared" si="189"/>
        <x:v>4167.6590689578779</x:v>
      </x:c>
      <x:c r="R131" s="249">
        <x:f t="shared" si="190"/>
        <x:v>4167.6590689578779</x:v>
      </x:c>
      <x:c r="S131" s="249">
        <x:f t="shared" si="191"/>
        <x:v>-2954.9232890983358</x:v>
      </x:c>
      <x:c r="T131" s="23"/>
      <x:c r="U131" s="23"/>
      <x:c r="V131" s="260">
        <x:f t="shared" si="143"/>
        <x:v>-2891.7124767164682</x:v>
      </x:c>
      <x:c r="W131" s="260">
        <x:f t="shared" si="144"/>
        <x:v>-3688.6955825176456</x:v>
      </x:c>
      <x:c r="X131" s="260">
        <x:f t="shared" si="145"/>
        <x:v>4012.1342420728124</x:v>
      </x:c>
      <x:c r="Y131" s="260">
        <x:f t="shared" si="146"/>
        <x:v>2568.2738171613005</x:v>
      </x:c>
      <x:c r="Z131" s="260">
        <x:f t="shared" si="147"/>
        <x:v>-740.37518740076212</x:v>
      </x:c>
      <x:c r="AA131" s="260">
        <x:f t="shared" si="148"/>
        <x:v>1985.3190766832245</x:v>
      </x:c>
      <x:c r="AB131" s="260">
        <x:f t="shared" si="149"/>
        <x:v>1204.4690781893664</x:v>
      </x:c>
      <x:c r="AC131" s="260">
        <x:f t="shared" si="150"/>
        <x:v>-1521.2251858946215</x:v>
      </x:c>
      <x:c r="AD131" s="260"/>
      <x:c r="AE131" s="282">
        <x:f t="shared" si="39"/>
        <x:v>0</x:v>
      </x:c>
      <x:c r="AF131" s="282">
        <x:f t="shared" si="10"/>
        <x:v>928.18778157720726</x:v>
      </x:c>
      <x:c r="AJ131" s="272">
        <x:f t="shared" si="192"/>
        <x:v>148.07503748015242</x:v>
      </x:c>
      <x:c r="AK131" s="272">
        <x:f t="shared" si="193"/>
        <x:v>-198.53190766832245</x:v>
      </x:c>
      <x:c r="AL131" s="272">
        <x:f t="shared" si="194"/>
        <x:v>120.44690781893665</x:v>
      </x:c>
      <x:c r="AM131" s="272">
        <x:f t="shared" si="195"/>
        <x:v>-304.24503717892429</x:v>
      </x:c>
      <x:c r="AN131" s="272">
        <x:f t="shared" si="196"/>
        <x:v>-578.34249534329365</x:v>
      </x:c>
      <x:c r="AO131" s="272">
        <x:f t="shared" si="197"/>
        <x:v>-368.8695582517646</x:v>
      </x:c>
      <x:c r="AP131" s="272">
        <x:f t="shared" si="198"/>
        <x:v>-401.21342420728126</x:v>
      </x:c>
      <x:c r="AQ131" s="272">
        <x:f t="shared" si="199"/>
        <x:v>-513.6547634322601</x:v>
      </x:c>
      <x:c r="AR131" s="272"/>
      <x:c r="AS131" s="286">
        <x:f t="shared" si="32"/>
        <x:v>-234.25499954815768</x:v>
      </x:c>
      <x:c r="AT131" s="286">
        <x:f t="shared" si="33"/>
        <x:v>-1862.0802412345997</x:v>
      </x:c>
      <x:c r="AY131" s="279">
        <x:f t="shared" si="200"/>
        <x:v>-305.05438316415365</x:v>
      </x:c>
      <x:c r="AZ131" s="279">
        <x:f t="shared" si="201"/>
        <x:v>305.05438316415365</x:v>
      </x:c>
      <x:c r="BA131" s="279">
        <x:f t="shared" si="202"/>
        <x:v>-460.88689805088779</x:v>
      </x:c>
      <x:c r="BB131" s="279">
        <x:f t="shared" si="203"/>
        <x:v>-460.88689805088779</x:v>
      </x:c>
      <x:c r="BC131" s="279"/>
      <x:c r="BD131" s="289">
        <x:f t="shared" si="151"/>
        <x:v>0</x:v>
      </x:c>
      <x:c r="BE131" s="289">
        <x:f t="shared" si="152"/>
        <x:v>-921.77379610177559</x:v>
      </x:c>
    </x:row>
    <x:row r="132" ht="15.75" customHeight="1">
      <x:c r="A132" s="21">
        <x:v>200</x:v>
      </x:c>
      <x:c r="B132" s="21">
        <x:f t="shared" si="19"/>
        <x:v>380</x:v>
      </x:c>
      <x:c r="C132" s="21">
        <x:f t="shared" si="0"/>
        <x:v>380</x:v>
      </x:c>
      <x:c r="D132" s="21">
        <x:f t="shared" si="20"/>
        <x:v>200</x:v>
      </x:c>
      <x:c r="E132" s="22" t="n">
        <x:f t="shared" ref="E132:H132" si="207">A132*PI()/180</x:f>
        <x:v>3.490658503988659</x:v>
      </x:c>
      <x:c r="F132" s="22">
        <x:f t="shared" si="207"/>
        <x:v>6.6322511575784526</x:v>
      </x:c>
      <x:c r="G132" s="22">
        <x:f t="shared" si="207"/>
        <x:v>6.6322511575784526</x:v>
      </x:c>
      <x:c r="H132" s="22">
        <x:f t="shared" si="207"/>
        <x:v>3.4906585039886591</x:v>
      </x:c>
      <x:c r="I132" s="23"/>
      <x:c r="J132" s="23"/>
      <x:c r="K132" s="23"/>
      <x:c r="L132" s="249">
        <x:f t="shared" si="184"/>
        <x:v>-467.72608678948342</x:v>
      </x:c>
      <x:c r="M132" s="249">
        <x:f t="shared" si="185"/>
        <x:v>467.72608678948382</x:v>
      </x:c>
      <x:c r="N132" s="249">
        <x:f t="shared" si="186"/>
        <x:v>467.72608678948382</x:v>
      </x:c>
      <x:c r="O132" s="249">
        <x:f t="shared" si="187"/>
        <x:v>-467.72608678948342</x:v>
      </x:c>
      <x:c r="P132" s="249">
        <x:f t="shared" si="188"/>
        <x:v>-2944.5789046850632</x:v>
      </x:c>
      <x:c r="Q132" s="249">
        <x:f t="shared" si="189"/>
        <x:v>4092.8978047728433</x:v>
      </x:c>
      <x:c r="R132" s="249">
        <x:f t="shared" si="190"/>
        <x:v>4092.8978047728433</x:v>
      </x:c>
      <x:c r="S132" s="249">
        <x:f t="shared" si="191"/>
        <x:v>-2944.5789046850632</x:v>
      </x:c>
      <x:c r="T132" s="23"/>
      <x:c r="U132" s="23"/>
      <x:c r="V132" s="260">
        <x:f t="shared" si="143"/>
        <x:v>-2899.4272062023242</x:v>
      </x:c>
      <x:c r="W132" s="260">
        <x:f t="shared" si="144"/>
        <x:v>-3602.3534861907146</x:v>
      </x:c>
      <x:c r="X132" s="260">
        <x:f t="shared" si="145"/>
        <x:v>3960.3355347892975</x:v>
      </x:c>
      <x:c r="Y132" s="260">
        <x:f t="shared" si="146"/>
        <x:v>2541.4451576037413</x:v>
      </x:c>
      <x:c r="Z132" s="260">
        <x:f t="shared" si="147"/>
        <x:v>-694.7190037083152</x:v>
      </x:c>
      <x:c r="AA132" s="260">
        <x:f t="shared" si="148"/>
        <x:v>1998.406738656415</x:v>
      </x:c>
      <x:c r="AB132" s="260">
        <x:f t="shared" si="149"/>
        <x:v>1134.1616218436113</x:v>
      </x:c>
      <x:c r="AC132" s="260">
        <x:f t="shared" si="150"/>
        <x:v>-1558.9641205211183</x:v>
      </x:c>
      <x:c r="AD132" s="260"/>
      <x:c r="AE132" s="282">
        <x:f t="shared" si="39"/>
        <x:v>0</x:v>
      </x:c>
      <x:c r="AF132" s="282">
        <x:f t="shared" si="10"/>
        <x:v>878.88523627059294</x:v>
      </x:c>
      <x:c r="AJ132" s="272">
        <x:f t="shared" si="192"/>
        <x:v>138.94380074166304</x:v>
      </x:c>
      <x:c r="AK132" s="272">
        <x:f t="shared" si="193"/>
        <x:v>-199.84067386564152</x:v>
      </x:c>
      <x:c r="AL132" s="272">
        <x:f t="shared" si="194"/>
        <x:v>113.41616218436114</x:v>
      </x:c>
      <x:c r="AM132" s="272">
        <x:f t="shared" si="195"/>
        <x:v>-311.79282410422366</x:v>
      </x:c>
      <x:c r="AN132" s="272">
        <x:f t="shared" si="196"/>
        <x:v>-579.88544124046484</x:v>
      </x:c>
      <x:c r="AO132" s="272">
        <x:f t="shared" si="197"/>
        <x:v>-360.23534861907149</x:v>
      </x:c>
      <x:c r="AP132" s="272">
        <x:f t="shared" si="198"/>
        <x:v>-396.03355347892978</x:v>
      </x:c>
      <x:c r="AQ132" s="272">
        <x:f t="shared" si="199"/>
        <x:v>-508.28903152074827</x:v>
      </x:c>
      <x:c r="AR132" s="272"/>
      <x:c r="AS132" s="286">
        <x:f t="shared" si="32"/>
        <x:v>-259.27353504384098</x:v>
      </x:c>
      <x:c r="AT132" s="286">
        <x:f t="shared" si="33"/>
        <x:v>-1844.4433748592144</x:v>
      </x:c>
      <x:c r="AY132" s="279">
        <x:f t="shared" si="200"/>
        <x:v>-336.46113082164322</x:v>
      </x:c>
      <x:c r="AZ132" s="279">
        <x:f t="shared" si="201"/>
        <x:v>336.46113082164322</x:v>
      </x:c>
      <x:c r="BA132" s="279">
        <x:f t="shared" si="202"/>
        <x:v>-438.4846826616099</x:v>
      </x:c>
      <x:c r="BB132" s="279">
        <x:f t="shared" si="203"/>
        <x:v>-438.4846826616099</x:v>
      </x:c>
      <x:c r="BC132" s="279"/>
      <x:c r="BD132" s="289">
        <x:f t="shared" si="151"/>
        <x:v>0</x:v>
      </x:c>
      <x:c r="BE132" s="289">
        <x:f t="shared" si="152"/>
        <x:v>-876.96936532321979</x:v>
      </x:c>
    </x:row>
    <x:row r="133" ht="15.75" customHeight="1">
      <x:c r="A133" s="21">
        <x:v>202</x:v>
      </x:c>
      <x:c r="B133" s="21">
        <x:f t="shared" si="19"/>
        <x:v>382</x:v>
      </x:c>
      <x:c r="C133" s="21">
        <x:f t="shared" si="0"/>
        <x:v>382</x:v>
      </x:c>
      <x:c r="D133" s="21">
        <x:f t="shared" si="20"/>
        <x:v>202</x:v>
      </x:c>
      <x:c r="E133" s="22" t="n">
        <x:f t="shared" ref="E133:H133" si="208">A133*PI()/180</x:f>
        <x:v>3.5255650890285457</x:v>
      </x:c>
      <x:c r="F133" s="22">
        <x:f t="shared" si="208"/>
        <x:v>6.6671577426183388</x:v>
      </x:c>
      <x:c r="G133" s="22">
        <x:f t="shared" si="208"/>
        <x:v>6.6671577426183388</x:v>
      </x:c>
      <x:c r="H133" s="22">
        <x:f t="shared" si="208"/>
        <x:v>3.5255650890285457</x:v>
      </x:c>
      <x:c r="I133" s="23"/>
      <x:c r="J133" s="23"/>
      <x:c r="K133" s="23"/>
      <x:c r="L133" s="249">
        <x:f t="shared" si="184"/>
        <x:v>-512.28934740585441</x:v>
      </x:c>
      <x:c r="M133" s="249">
        <x:f t="shared" si="185"/>
        <x:v>512.2893474058543</x:v>
      </x:c>
      <x:c r="N133" s="249">
        <x:f t="shared" si="186"/>
        <x:v>512.2893474058543</x:v>
      </x:c>
      <x:c r="O133" s="249">
        <x:f t="shared" si="187"/>
        <x:v>-512.28934740585441</x:v>
      </x:c>
      <x:c r="P133" s="249">
        <x:f t="shared" si="188"/>
        <x:v>-2932.7447267329535</x:v>
      </x:c>
      <x:c r="Q133" s="249">
        <x:f t="shared" si="189"/>
        <x:v>4011.0522527963585</x:v>
      </x:c>
      <x:c r="R133" s="249">
        <x:f t="shared" si="190"/>
        <x:v>4011.0522527963585</x:v>
      </x:c>
      <x:c r="S133" s="249">
        <x:f t="shared" si="191"/>
        <x:v>-2932.7447267329535</x:v>
      </x:c>
      <x:c r="T133" s="23"/>
      <x:c r="U133" s="23"/>
      <x:c r="V133" s="260">
        <x:f t="shared" si="143"/>
        <x:v>-2905.5474729383268</x:v>
      </x:c>
      <x:c r="W133" s="260">
        <x:f t="shared" si="144"/>
        <x:v>-3509.6844343624994</x:v>
      </x:c>
      <x:c r="X133" s="260">
        <x:f t="shared" si="145"/>
        <x:v>3901.7737260211875</x:v>
      </x:c>
      <x:c r="Y133" s="260">
        <x:f t="shared" si="146"/>
        <x:v>2513.4581812796378</x:v>
      </x:c>
      <x:c r="Z133" s="260">
        <x:f t="shared" si="147"/>
        <x:v>-649.01917548495112</x:v>
      </x:c>
      <x:c r="AA133" s="260">
        <x:f t="shared" si="148"/>
        <x:v>2008.2568862876692</x:v>
      </x:c>
      <x:c r="AB133" s="260">
        <x:f t="shared" si="149"/>
        <x:v>1061.6696007040036</x:v>
      </x:c>
      <x:c r="AC133" s="260">
        <x:f t="shared" si="150"/>
        <x:v>-1595.6064610686171</x:v>
      </x:c>
      <x:c r="AD133" s="260"/>
      <x:c r="AE133" s="282">
        <x:f t="shared" si="39"/>
        <x:v>0</x:v>
      </x:c>
      <x:c r="AF133" s="282">
        <x:f t="shared" si="10"/>
        <x:v>825.30085043810459</x:v>
      </x:c>
      <x:c r="AJ133" s="272">
        <x:f t="shared" si="192"/>
        <x:v>129.80383509699024</x:v>
      </x:c>
      <x:c r="AK133" s="272">
        <x:f t="shared" si="193"/>
        <x:v>-200.82568862876693</x:v>
      </x:c>
      <x:c r="AL133" s="272">
        <x:f t="shared" si="194"/>
        <x:v>106.16696007040036</x:v>
      </x:c>
      <x:c r="AM133" s="272">
        <x:f t="shared" si="195"/>
        <x:v>-319.12129221372345</x:v>
      </x:c>
      <x:c r="AN133" s="272">
        <x:f t="shared" si="196"/>
        <x:v>-581.10949458766538</x:v>
      </x:c>
      <x:c r="AO133" s="272">
        <x:f t="shared" si="197"/>
        <x:v>-350.96844343624997</x:v>
      </x:c>
      <x:c r="AP133" s="272">
        <x:f t="shared" si="198"/>
        <x:v>-390.17737260211879</x:v>
      </x:c>
      <x:c r="AQ133" s="272">
        <x:f t="shared" si="199"/>
        <x:v>-502.69163625592756</x:v>
      </x:c>
      <x:c r="AR133" s="272"/>
      <x:c r="AS133" s="286">
        <x:f t="shared" si="32"/>
        <x:v>-283.97618567509977</x:v>
      </x:c>
      <x:c r="AT133" s="286">
        <x:f t="shared" si="33"/>
        <x:v>-1824.9469468819616</x:v>
      </x:c>
      <x:c r="AY133" s="279">
        <x:f t="shared" si="200"/>
        <x:v>-366.22867367072439</x:v>
      </x:c>
      <x:c r="AZ133" s="279">
        <x:f t="shared" si="201"/>
        <x:v>366.22867367072439</x:v>
      </x:c>
      <x:c r="BA133" s="279">
        <x:f t="shared" si="202"/>
        <x:v>-413.94621397473099</x:v>
      </x:c>
      <x:c r="BB133" s="279">
        <x:f t="shared" si="203"/>
        <x:v>-413.94621397473099</x:v>
      </x:c>
      <x:c r="BC133" s="279"/>
      <x:c r="BD133" s="289">
        <x:f t="shared" si="151"/>
        <x:v>0</x:v>
      </x:c>
      <x:c r="BE133" s="289">
        <x:f t="shared" si="152"/>
        <x:v>-827.89242794946199</x:v>
      </x:c>
    </x:row>
    <x:row r="134" ht="15.75" customHeight="1">
      <x:c r="A134" s="21">
        <x:v>204</x:v>
      </x:c>
      <x:c r="B134" s="21">
        <x:f t="shared" si="19"/>
        <x:v>384</x:v>
      </x:c>
      <x:c r="C134" s="21">
        <x:f t="shared" si="0"/>
        <x:v>384</x:v>
      </x:c>
      <x:c r="D134" s="21">
        <x:f t="shared" si="20"/>
        <x:v>204</x:v>
      </x:c>
      <x:c r="E134" s="22" t="n">
        <x:f t="shared" ref="E134:H134" si="209">A134*PI()/180</x:f>
        <x:v>3.560471674068432</x:v>
      </x:c>
      <x:c r="F134" s="22">
        <x:f t="shared" si="209"/>
        <x:v>6.702064327658225</x:v>
      </x:c>
      <x:c r="G134" s="22">
        <x:f t="shared" si="209"/>
        <x:v>6.702064327658225</x:v>
      </x:c>
      <x:c r="H134" s="22">
        <x:f t="shared" si="209"/>
        <x:v>3.5604716740684319</x:v>
      </x:c>
      <x:c r="I134" s="23"/>
      <x:c r="J134" s="23"/>
      <x:c r="K134" s="23"/>
      <x:c r="L134" s="249">
        <x:f t="shared" si="184"/>
        <x:v>-556.2284623645354</x:v>
      </x:c>
      <x:c r="M134" s="249">
        <x:f t="shared" si="185"/>
        <x:v>556.22846236453529</x:v>
      </x:c>
      <x:c r="N134" s="249">
        <x:f t="shared" si="186"/>
        <x:v>556.22846236453529</x:v>
      </x:c>
      <x:c r="O134" s="249">
        <x:f t="shared" si="187"/>
        <x:v>-556.2284623645354</x:v>
      </x:c>
      <x:c r="P134" s="249">
        <x:f t="shared" si="188"/>
        <x:v>-2919.3072782139739</x:v>
      </x:c>
      <x:c r="Q134" s="249">
        <x:f t="shared" si="189"/>
        <x:v>3922.3500243771164</x:v>
      </x:c>
      <x:c r="R134" s="249">
        <x:f t="shared" si="190"/>
        <x:v>3922.3500243771164</x:v>
      </x:c>
      <x:c r="S134" s="249">
        <x:f t="shared" si="191"/>
        <x:v>-2919.3072782139739</x:v>
      </x:c>
      <x:c r="T134" s="23"/>
      <x:c r="U134" s="23"/>
      <x:c r="V134" s="260">
        <x:f t="shared" si="143"/>
        <x:v>-2909.9476606099397</x:v>
      </x:c>
      <x:c r="W134" s="260">
        <x:f t="shared" si="144"/>
        <x:v>-3410.919489710348</x:v>
      </x:c>
      <x:c r="X134" s="260">
        <x:f t="shared" si="145"/>
        <x:v>3836.6383240239811</x:v>
      </x:c>
      <x:c r="Y134" s="260">
        <x:f t="shared" si="146"/>
        <x:v>2484.2288262963066</x:v>
      </x:c>
      <x:c r="Z134" s="260">
        <x:f t="shared" si="147"/>
        <x:v>-603.28243757649307</x:v>
      </x:c>
      <x:c r="AA134" s="260">
        <x:f t="shared" si="148"/>
        <x:v>2014.9064620447475</x:v>
      </x:c>
      <x:c r="AB134" s="260">
        <x:f t="shared" si="149"/>
        <x:v>987.13027848710999</x:v>
      </x:c>
      <x:c r="AC134" s="260">
        <x:f t="shared" si="150"/>
        <x:v>-1631.0586211341306</x:v>
      </x:c>
      <x:c r="AD134" s="260"/>
      <x:c r="AE134" s="282">
        <x:f t="shared" si="39"/>
        <x:v>0</x:v>
      </x:c>
      <x:c r="AF134" s="282">
        <x:f t="shared" si="10"/>
        <x:v>767.69568182123385</x:v>
      </x:c>
      <x:c r="AJ134" s="272">
        <x:f t="shared" si="192"/>
        <x:v>120.65648751529862</x:v>
      </x:c>
      <x:c r="AK134" s="272">
        <x:f t="shared" si="193"/>
        <x:v>-201.49064620447476</x:v>
      </x:c>
      <x:c r="AL134" s="272">
        <x:f t="shared" si="194"/>
        <x:v>98.713027848711008</x:v>
      </x:c>
      <x:c r="AM134" s="272">
        <x:f t="shared" si="195"/>
        <x:v>-326.21172422682616</x:v>
      </x:c>
      <x:c r="AN134" s="272">
        <x:f t="shared" si="196"/>
        <x:v>-581.98953212198796</x:v>
      </x:c>
      <x:c r="AO134" s="272">
        <x:f t="shared" si="197"/>
        <x:v>-341.09194897103481</x:v>
      </x:c>
      <x:c r="AP134" s="272">
        <x:f t="shared" si="198"/>
        <x:v>-383.66383240239816</x:v>
      </x:c>
      <x:c r="AQ134" s="272">
        <x:f t="shared" si="199"/>
        <x:v>-496.84576525926133</x:v>
      </x:c>
      <x:c r="AR134" s="272"/>
      <x:c r="AS134" s="286">
        <x:f t="shared" si="32"/>
        <x:v>-308.33285506729129</x:v>
      </x:c>
      <x:c r="AT134" s="286">
        <x:f t="shared" si="33"/>
        <x:v>-1803.5910787546823</x:v>
      </x:c>
      <x:c r="AY134" s="279">
        <x:f t="shared" si="200"/>
        <x:v>-394.21198723486009</x:v>
      </x:c>
      <x:c r="AZ134" s="279">
        <x:f t="shared" si="201"/>
        <x:v>394.21198723486009</x:v>
      </x:c>
      <x:c r="BA134" s="279">
        <x:f t="shared" si="202"/>
        <x:v>-387.39104094309437</x:v>
      </x:c>
      <x:c r="BB134" s="279">
        <x:f t="shared" si="203"/>
        <x:v>-387.39104094309437</x:v>
      </x:c>
      <x:c r="BC134" s="279"/>
      <x:c r="BD134" s="289">
        <x:f t="shared" si="151"/>
        <x:v>0</x:v>
      </x:c>
      <x:c r="BE134" s="289">
        <x:f t="shared" si="152"/>
        <x:v>-774.78208188618873</x:v>
      </x:c>
    </x:row>
    <x:row r="135" ht="15.75" customHeight="1">
      <x:c r="A135" s="21">
        <x:v>206</x:v>
      </x:c>
      <x:c r="B135" s="21">
        <x:f t="shared" si="19"/>
        <x:v>386</x:v>
      </x:c>
      <x:c r="C135" s="21">
        <x:f t="shared" si="0"/>
        <x:v>386</x:v>
      </x:c>
      <x:c r="D135" s="21">
        <x:f t="shared" si="20"/>
        <x:v>206</x:v>
      </x:c>
      <x:c r="E135" s="22" t="n">
        <x:f t="shared" ref="E135:H135" si="210">A135*PI()/180</x:f>
        <x:v>3.5953782591083185</x:v>
      </x:c>
      <x:c r="F135" s="22">
        <x:f t="shared" si="210"/>
        <x:v>6.7369709126981121</x:v>
      </x:c>
      <x:c r="G135" s="22">
        <x:f t="shared" si="210"/>
        <x:v>6.7369709126981121</x:v>
      </x:c>
      <x:c r="H135" s="22">
        <x:f t="shared" si="210"/>
        <x:v>3.5953782591083185</x:v>
      </x:c>
      <x:c r="I135" s="23"/>
      <x:c r="J135" s="23"/>
      <x:c r="K135" s="23"/>
      <x:c r="L135" s="249">
        <x:f t="shared" si="184"/>
        <x:v>-599.4898986222521</x:v>
      </x:c>
      <x:c r="M135" s="249">
        <x:f t="shared" si="185"/>
        <x:v>599.48989862225255</x:v>
      </x:c>
      <x:c r="N135" s="249">
        <x:f t="shared" si="186"/>
        <x:v>599.48989862225255</x:v>
      </x:c>
      <x:c r="O135" s="249">
        <x:f t="shared" si="187"/>
        <x:v>-599.4898986222521</x:v>
      </x:c>
      <x:c r="P135" s="249">
        <x:f t="shared" si="188"/>
        <x:v>-2904.1454386385508</x:v>
      </x:c>
      <x:c r="Q135" s="249">
        <x:f t="shared" si="189"/>
        <x:v>3827.0366814676263</x:v>
      </x:c>
      <x:c r="R135" s="249">
        <x:f t="shared" si="190"/>
        <x:v>3827.0366814676263</x:v>
      </x:c>
      <x:c r="S135" s="249">
        <x:f t="shared" si="191"/>
        <x:v>-2904.1454386385508</x:v>
      </x:c>
      <x:c r="T135" s="23"/>
      <x:c r="U135" s="23"/>
      <x:c r="V135" s="260">
        <x:f t="shared" si="143"/>
        <x:v>-2912.4953822671332</x:v>
      </x:c>
      <x:c r="W135" s="260">
        <x:f t="shared" si="144"/>
        <x:v>-3306.3060081048934</x:v>
      </x:c>
      <x:c r="X135" s="260">
        <x:f t="shared" si="145"/>
        <x:v>3765.1357122508198</x:v>
      </x:c>
      <x:c r="Y135" s="260">
        <x:f t="shared" si="146"/>
        <x:v>2453.6656781212068</x:v>
      </x:c>
      <x:c r="Z135" s="260">
        <x:f t="shared" si="147"/>
        <x:v>-557.51189726125494</x:v>
      </x:c>
      <x:c r="AA135" s="260">
        <x:f t="shared" si="148"/>
        <x:v>2018.3999803354995</x:v>
      </x:c>
      <x:c r="AB135" s="260">
        <x:f t="shared" si="149"/>
        <x:v>910.68708576676897</x:v>
      </x:c>
      <x:c r="AC135" s="260">
        <x:f t="shared" si="150"/>
        <x:v>-1665.224791829985</x:v>
      </x:c>
      <x:c r="AD135" s="260"/>
      <x:c r="AE135" s="282">
        <x:f t="shared" si="39"/>
        <x:v>0</x:v>
      </x:c>
      <x:c r="AF135" s="282">
        <x:f t="shared" si="10"/>
        <x:v>706.35037701102874</x:v>
      </x:c>
      <x:c r="AJ135" s="272">
        <x:f t="shared" si="192"/>
        <x:v>111.50237945225099</x:v>
      </x:c>
      <x:c r="AK135" s="272">
        <x:f t="shared" si="193"/>
        <x:v>-201.83999803354996</x:v>
      </x:c>
      <x:c r="AL135" s="272">
        <x:f t="shared" si="194"/>
        <x:v>91.068708576676897</x:v>
      </x:c>
      <x:c r="AM135" s="272">
        <x:f t="shared" si="195"/>
        <x:v>-333.04495836599699</x:v>
      </x:c>
      <x:c r="AN135" s="272">
        <x:f t="shared" si="196"/>
        <x:v>-582.49907645342671</x:v>
      </x:c>
      <x:c r="AO135" s="272">
        <x:f t="shared" si="197"/>
        <x:v>-330.63060081048934</x:v>
      </x:c>
      <x:c r="AP135" s="272">
        <x:f t="shared" si="198"/>
        <x:v>-376.51357122508199</x:v>
      </x:c>
      <x:c r="AQ135" s="272">
        <x:f t="shared" si="199"/>
        <x:v>-490.73313562424141</x:v>
      </x:c>
      <x:c r="AR135" s="272"/>
      <x:c r="AS135" s="286">
        <x:f t="shared" si="32"/>
        <x:v>-332.31386837061905</x:v>
      </x:c>
      <x:c r="AT135" s="286">
        <x:f t="shared" si="33"/>
        <x:v>-1780.3763841132395</x:v>
      </x:c>
      <x:c r="AY135" s="279">
        <x:f t="shared" si="200"/>
        <x:v>-420.27473962323717</x:v>
      </x:c>
      <x:c r="AZ135" s="279">
        <x:f t="shared" si="201"/>
        <x:v>420.27473962323717</x:v>
      </x:c>
      <x:c r="BA135" s="279">
        <x:f t="shared" si="202"/>
        <x:v>-358.94853770039498</x:v>
      </x:c>
      <x:c r="BB135" s="279">
        <x:f t="shared" si="203"/>
        <x:v>-358.94853770039498</x:v>
      </x:c>
      <x:c r="BC135" s="279"/>
      <x:c r="BD135" s="289">
        <x:f t="shared" si="151"/>
        <x:v>0</x:v>
      </x:c>
      <x:c r="BE135" s="289">
        <x:f t="shared" si="152"/>
        <x:v>-717.89707540078996</x:v>
      </x:c>
    </x:row>
    <x:row r="136" ht="15.75" customHeight="1">
      <x:c r="A136" s="21">
        <x:v>208</x:v>
      </x:c>
      <x:c r="B136" s="21">
        <x:f t="shared" si="19"/>
        <x:v>388</x:v>
      </x:c>
      <x:c r="C136" s="21">
        <x:f t="shared" si="0"/>
        <x:v>388</x:v>
      </x:c>
      <x:c r="D136" s="21">
        <x:f t="shared" si="20"/>
        <x:v>208</x:v>
      </x:c>
      <x:c r="E136" s="22" t="n">
        <x:f t="shared" ref="E136:H136" si="211">A136*PI()/180</x:f>
        <x:v>3.6302848441482056</x:v>
      </x:c>
      <x:c r="F136" s="22">
        <x:f t="shared" si="211"/>
        <x:v>6.7718774977379983</x:v>
      </x:c>
      <x:c r="G136" s="22">
        <x:f t="shared" si="211"/>
        <x:v>6.7718774977379983</x:v>
      </x:c>
      <x:c r="H136" s="22">
        <x:f t="shared" si="211"/>
        <x:v>3.6302848441482056</x:v>
      </x:c>
      <x:c r="I136" s="23"/>
      <x:c r="J136" s="23"/>
      <x:c r="K136" s="23"/>
      <x:c r="L136" s="249">
        <x:f t="shared" si="184"/>
        <x:v>-642.02094878283799</x:v>
      </x:c>
      <x:c r="M136" s="249">
        <x:f t="shared" si="185"/>
        <x:v>642.02094878283731</x:v>
      </x:c>
      <x:c r="N136" s="249">
        <x:f t="shared" si="186"/>
        <x:v>642.02094878283731</x:v>
      </x:c>
      <x:c r="O136" s="249">
        <x:f t="shared" si="187"/>
        <x:v>-642.02094878283799</x:v>
      </x:c>
      <x:c r="P136" s="249">
        <x:f t="shared" si="188"/>
        <x:v>-2887.1312614691924</x:v>
      </x:c>
      <x:c r="Q136" s="249">
        <x:f t="shared" si="189"/>
        <x:v>3725.3747675978434</x:v>
      </x:c>
      <x:c r="R136" s="249">
        <x:f t="shared" si="190"/>
        <x:v>3725.3747675978434</x:v>
      </x:c>
      <x:c r="S136" s="249">
        <x:f t="shared" si="191"/>
        <x:v>-2887.1312614691924</x:v>
      </x:c>
      <x:c r="T136" s="23"/>
      <x:c r="U136" s="23"/>
      <x:c r="V136" s="260">
        <x:f t="shared" si="143"/>
        <x:v>-2913.0522604753869</x:v>
      </x:c>
      <x:c r="W136" s="260">
        <x:f t="shared" si="144"/>
        <x:v>-3196.1067183871314</x:v>
      </x:c>
      <x:c r="X136" s="260">
        <x:f t="shared" si="145"/>
        <x:v>3687.4882790481465</x:v>
      </x:c>
      <x:c r="Y136" s="260">
        <x:f t="shared" si="146"/>
        <x:v>2421.6706998143709</x:v>
      </x:c>
      <x:c r="Z136" s="260">
        <x:f t="shared" si="147"/>
        <x:v>-511.70728680364095</x:v>
      </x:c>
      <x:c r="AA136" s="260">
        <x:f t="shared" si="148"/>
        <x:v>2018.7892169345821</x:v>
      </x:c>
      <x:c r="AB136" s="260">
        <x:f t="shared" si="149"/>
        <x:v>832.48918888670119</x:v>
      </x:c>
      <x:c r="AC136" s="260">
        <x:f t="shared" si="150"/>
        <x:v>-1698.0073148515232</x:v>
      </x:c>
      <x:c r="AD136" s="260"/>
      <x:c r="AE136" s="282">
        <x:f t="shared" si="39"/>
        <x:v>0</x:v>
      </x:c>
      <x:c r="AF136" s="282">
        <x:f t="shared" si="10"/>
        <x:v>641.56380416611933</x:v>
      </x:c>
      <x:c r="AJ136" s="272">
        <x:f t="shared" si="192"/>
        <x:v>102.3414573607282</x:v>
      </x:c>
      <x:c r="AK136" s="272">
        <x:f t="shared" si="193"/>
        <x:v>-201.87892169345821</x:v>
      </x:c>
      <x:c r="AL136" s="272">
        <x:f t="shared" si="194"/>
        <x:v>83.248918888670119</x:v>
      </x:c>
      <x:c r="AM136" s="272">
        <x:f t="shared" si="195"/>
        <x:v>-339.60146297030468</x:v>
      </x:c>
      <x:c r="AN136" s="272">
        <x:f t="shared" si="196"/>
        <x:v>-582.61045209507745</x:v>
      </x:c>
      <x:c r="AO136" s="272">
        <x:f t="shared" si="197"/>
        <x:v>-319.61067183871319</x:v>
      </x:c>
      <x:c r="AP136" s="272">
        <x:f t="shared" si="198"/>
        <x:v>-368.74882790481468</x:v>
      </x:c>
      <x:c r="AQ136" s="272">
        <x:f t="shared" si="199"/>
        <x:v>-484.33413996287419</x:v>
      </x:c>
      <x:c r="AR136" s="272"/>
      <x:c r="AS136" s="286">
        <x:f t="shared" si="32"/>
        <x:v>-355.89000841436456</x:v>
      </x:c>
      <x:c r="AT136" s="286">
        <x:f t="shared" si="33"/>
        <x:v>-1755.3040918014794</x:v>
      </x:c>
      <x:c r="AY136" s="279">
        <x:f t="shared" si="200"/>
        <x:v>-444.28995572603964</x:v>
      </x:c>
      <x:c r="AZ136" s="279">
        <x:f t="shared" si="201"/>
        <x:v>444.28995572603964</x:v>
      </x:c>
      <x:c r="BA136" s="279">
        <x:f t="shared" si="202"/>
        <x:v>-328.75727326339933</x:v>
      </x:c>
      <x:c r="BB136" s="279">
        <x:f t="shared" si="203"/>
        <x:v>-328.75727326339933</x:v>
      </x:c>
      <x:c r="BC136" s="279"/>
      <x:c r="BD136" s="289">
        <x:f t="shared" si="151"/>
        <x:v>0</x:v>
      </x:c>
      <x:c r="BE136" s="289">
        <x:f t="shared" si="152"/>
        <x:v>-657.51454652679865</x:v>
      </x:c>
    </x:row>
    <x:row r="137" ht="15.75" customHeight="1">
      <x:c r="A137" s="21">
        <x:v>210</x:v>
      </x:c>
      <x:c r="B137" s="21">
        <x:f t="shared" si="19"/>
        <x:v>390</x:v>
      </x:c>
      <x:c r="C137" s="21">
        <x:f t="shared" si="0"/>
        <x:v>390</x:v>
      </x:c>
      <x:c r="D137" s="21">
        <x:f t="shared" si="20"/>
        <x:v>210</x:v>
      </x:c>
      <x:c r="E137" s="22" t="n">
        <x:f t="shared" ref="E137:H137" si="212">A137*PI()/180</x:f>
        <x:v>3.6651914291880923</x:v>
      </x:c>
      <x:c r="F137" s="22">
        <x:f t="shared" si="212"/>
        <x:v>6.8067840827778845</x:v>
      </x:c>
      <x:c r="G137" s="22">
        <x:f t="shared" si="212"/>
        <x:v>6.8067840827778845</x:v>
      </x:c>
      <x:c r="H137" s="22">
        <x:f t="shared" si="212"/>
        <x:v>3.6651914291880923</x:v>
      </x:c>
      <x:c r="I137" s="23"/>
      <x:c r="J137" s="23"/>
      <x:c r="K137" s="23"/>
      <x:c r="L137" s="249">
        <x:f t="shared" si="184"/>
        <x:v>-683.76979531307711</x:v>
      </x:c>
      <x:c r="M137" s="249">
        <x:f t="shared" si="185"/>
        <x:v>683.76979531307597</x:v>
      </x:c>
      <x:c r="N137" s="249">
        <x:f t="shared" si="186"/>
        <x:v>683.76979531307597</x:v>
      </x:c>
      <x:c r="O137" s="249">
        <x:f t="shared" si="187"/>
        <x:v>-683.76979531307711</x:v>
      </x:c>
      <x:c r="P137" s="249">
        <x:f t="shared" si="188"/>
        <x:v>-2868.130843341818</x:v>
      </x:c>
      <x:c r="Q137" s="249">
        <x:f t="shared" si="189"/>
        <x:v>3617.6427746681279</x:v>
      </x:c>
      <x:c r="R137" s="249">
        <x:f t="shared" si="190"/>
        <x:v>3617.6427746681279</x:v>
      </x:c>
      <x:c r="S137" s="249">
        <x:f t="shared" si="191"/>
        <x:v>-2868.130843341818</x:v>
      </x:c>
      <x:c r="T137" s="23"/>
      <x:c r="U137" s="23"/>
      <x:c r="V137" s="260">
        <x:f t="shared" si="143"/>
        <x:v>-2911.4747549458243</x:v>
      </x:c>
      <x:c r="W137" s="260">
        <x:f t="shared" si="144"/>
        <x:v>-3080.5987432352413</x:v>
      </x:c>
      <x:c r="X137" s="260">
        <x:f t="shared" si="145"/>
        <x:v>3603.9334876712073</x:v>
      </x:c>
      <x:c r="Y137" s="260">
        <x:f t="shared" si="146"/>
        <x:v>2388.1400105098583</x:v>
      </x:c>
      <x:c r="Z137" s="260">
        <x:f t="shared" si="147"/>
        <x:v>-465.86523676304273</x:v>
      </x:c>
      <x:c r="AA137" s="260">
        <x:f t="shared" si="148"/>
        <x:v>2016.1328729199495</x:v>
      </x:c>
      <x:c r="AB137" s="260">
        <x:f t="shared" si="149"/>
        <x:v>752.69103524158356</x:v>
      </x:c>
      <x:c r="AC137" s="260">
        <x:f t="shared" si="150"/>
        <x:v>-1729.3070744414106</x:v>
      </x:c>
      <x:c r="AD137" s="260"/>
      <x:c r="AE137" s="282">
        <x:f t="shared" si="39"/>
        <x:v>0</x:v>
      </x:c>
      <x:c r="AF137" s="282">
        <x:f t="shared" si="10"/>
        <x:v>573.65159695707985</x:v>
      </x:c>
      <x:c r="AJ137" s="272">
        <x:f t="shared" si="192"/>
        <x:v>93.173047352608549</x:v>
      </x:c>
      <x:c r="AK137" s="272">
        <x:f t="shared" si="193"/>
        <x:v>-201.61328729199496</x:v>
      </x:c>
      <x:c r="AL137" s="272">
        <x:f t="shared" si="194"/>
        <x:v>75.269103524158353</x:v>
      </x:c>
      <x:c r="AM137" s="272">
        <x:f t="shared" si="195"/>
        <x:v>-345.86141488828213</x:v>
      </x:c>
      <x:c r="AN137" s="272">
        <x:f t="shared" si="196"/>
        <x:v>-582.29495098916493</x:v>
      </x:c>
      <x:c r="AO137" s="272">
        <x:f t="shared" si="197"/>
        <x:v>-308.05987432352413</x:v>
      </x:c>
      <x:c r="AP137" s="272">
        <x:f t="shared" si="198"/>
        <x:v>-360.39334876712076</x:v>
      </x:c>
      <x:c r="AQ137" s="272">
        <x:f t="shared" si="199"/>
        <x:v>-477.62800210197167</x:v>
      </x:c>
      <x:c r="AR137" s="272"/>
      <x:c r="AS137" s="286">
        <x:f t="shared" si="32"/>
        <x:v>-379.03255130351022</x:v>
      </x:c>
      <x:c r="AT137" s="286">
        <x:f t="shared" si="33"/>
        <x:v>-1728.3761761817814</x:v>
      </x:c>
      <x:c r="AY137" s="279">
        <x:f t="shared" si="200"/>
        <x:v>-466.1406358244144</x:v>
      </x:c>
      <x:c r="AZ137" s="279">
        <x:f t="shared" si="201"/>
        <x:v>466.1406358244144</x:v>
      </x:c>
      <x:c r="BA137" s="279">
        <x:f t="shared" si="202"/>
        <x:v>-296.96433643763078</x:v>
      </x:c>
      <x:c r="BB137" s="279">
        <x:f t="shared" si="203"/>
        <x:v>-296.96433643763078</x:v>
      </x:c>
      <x:c r="BC137" s="279"/>
      <x:c r="BD137" s="289">
        <x:f t="shared" si="151"/>
        <x:v>0</x:v>
      </x:c>
      <x:c r="BE137" s="289">
        <x:f t="shared" si="152"/>
        <x:v>-593.92867287526155</x:v>
      </x:c>
    </x:row>
    <x:row r="138" ht="15.75" customHeight="1">
      <x:c r="A138" s="21">
        <x:v>212</x:v>
      </x:c>
      <x:c r="B138" s="21">
        <x:f t="shared" si="19"/>
        <x:v>392</x:v>
      </x:c>
      <x:c r="C138" s="21">
        <x:f t="shared" si="0"/>
        <x:v>392</x:v>
      </x:c>
      <x:c r="D138" s="21">
        <x:f t="shared" si="20"/>
        <x:v>212</x:v>
      </x:c>
      <x:c r="E138" s="22" t="n">
        <x:f t="shared" ref="E138:H138" si="213">A138*PI()/180</x:f>
        <x:v>3.7000980142279785</x:v>
      </x:c>
      <x:c r="F138" s="22">
        <x:f t="shared" si="213"/>
        <x:v>6.8416906678177716</x:v>
      </x:c>
      <x:c r="G138" s="22">
        <x:f t="shared" si="213"/>
        <x:v>6.8416906678177716</x:v>
      </x:c>
      <x:c r="H138" s="22">
        <x:f t="shared" si="213"/>
        <x:v>3.7000980142279785</x:v>
      </x:c>
      <x:c r="I138" s="23"/>
      <x:c r="J138" s="23"/>
      <x:c r="K138" s="23"/>
      <x:c r="L138" s="249">
        <x:f t="shared" si="184"/>
        <x:v>-724.68557367438962</x:v>
      </x:c>
      <x:c r="M138" s="249">
        <x:f t="shared" si="185"/>
        <x:v>724.6855736743895</x:v>
      </x:c>
      <x:c r="N138" s="249">
        <x:f t="shared" si="186"/>
        <x:v>724.6855736743895</x:v>
      </x:c>
      <x:c r="O138" s="249">
        <x:f t="shared" si="187"/>
        <x:v>-724.68557367438962</x:v>
      </x:c>
      <x:c r="P138" s="249">
        <x:f t="shared" si="188"/>
        <x:v>-2847.0052405604633</x:v>
      </x:c>
      <x:c r="Q138" s="249">
        <x:f t="shared" si="189"/>
        <x:v>3504.1340502956837</x:v>
      </x:c>
      <x:c r="R138" s="249">
        <x:f t="shared" si="190"/>
        <x:v>3504.1340502956837</x:v>
      </x:c>
      <x:c r="S138" s="249">
        <x:f t="shared" si="191"/>
        <x:v>-2847.0052405604633</x:v>
      </x:c>
      <x:c r="T138" s="23"/>
      <x:c r="U138" s="23"/>
      <x:c r="V138" s="260">
        <x:f t="shared" si="143"/>
        <x:v>-2907.6150334253643</x:v>
      </x:c>
      <x:c r="W138" s="260">
        <x:f t="shared" si="144"/>
        <x:v>-2960.0725655248784</x:v>
      </x:c>
      <x:c r="X138" s="260">
        <x:f t="shared" si="145"/>
        <x:v>3514.7228909632372</x:v>
      </x:c>
      <x:c r="Y138" s="260">
        <x:f t="shared" si="146"/>
        <x:v>2352.9647079870047</x:v>
      </x:c>
      <x:c r="Z138" s="260">
        <x:f t="shared" si="147"/>
        <x:v>-419.97956839510766</x:v>
      </x:c>
      <x:c r="AA138" s="260">
        <x:f t="shared" si="148"/>
        <x:v>2010.4962148585053</x:v>
      </x:c>
      <x:c r="AB138" s="260">
        <x:f t="shared" si="149"/>
        <x:v>671.45187681056791</x:v>
      </x:c>
      <x:c r="AC138" s="260">
        <x:f t="shared" si="150"/>
        <x:v>-1759.023906443045</x:v>
      </x:c>
      <x:c r="AD138" s="260"/>
      <x:c r="AE138" s="282">
        <x:f t="shared" si="39"/>
        <x:v>0</x:v>
      </x:c>
      <x:c r="AF138" s="282">
        <x:f t="shared" si="10"/>
        <x:v>502.94461683092072</x:v>
      </x:c>
      <x:c r="AJ138" s="272">
        <x:f t="shared" si="192"/>
        <x:v>83.995913679021541</x:v>
      </x:c>
      <x:c r="AK138" s="272">
        <x:f t="shared" si="193"/>
        <x:v>-201.04962148585054</x:v>
      </x:c>
      <x:c r="AL138" s="272">
        <x:f t="shared" si="194"/>
        <x:v>67.145187681056797</x:v>
      </x:c>
      <x:c r="AM138" s="272">
        <x:f t="shared" si="195"/>
        <x:v>-351.80478128860904</x:v>
      </x:c>
      <x:c r="AN138" s="272">
        <x:f t="shared" si="196"/>
        <x:v>-581.52300668507291</x:v>
      </x:c>
      <x:c r="AO138" s="272">
        <x:f t="shared" si="197"/>
        <x:v>-296.00725655248783</x:v>
      </x:c>
      <x:c r="AP138" s="272">
        <x:f t="shared" si="198"/>
        <x:v>-351.47228909632372</x:v>
      </x:c>
      <x:c r="AQ138" s="272">
        <x:f t="shared" si="199"/>
        <x:v>-470.59294159740097</x:v>
      </x:c>
      <x:c r="AR138" s="272"/>
      <x:c r="AS138" s="286">
        <x:f t="shared" si="32"/>
        <x:v>-401.71330141438125</x:v>
      </x:c>
      <x:c r="AT138" s="286">
        <x:f t="shared" si="33"/>
        <x:v>-1699.5954939312855</x:v>
      </x:c>
      <x:c r="AY138" s="279">
        <x:f t="shared" si="200"/>
        <x:v>-485.72032560134596</x:v>
      </x:c>
      <x:c r="AZ138" s="279">
        <x:f t="shared" si="201"/>
        <x:v>485.72032560134596</x:v>
      </x:c>
      <x:c r="BA138" s="279">
        <x:f t="shared" si="202"/>
        <x:v>-263.72461921548796</x:v>
      </x:c>
      <x:c r="BB138" s="279">
        <x:f t="shared" si="203"/>
        <x:v>-263.72461921548796</x:v>
      </x:c>
      <x:c r="BC138" s="279"/>
      <x:c r="BD138" s="289">
        <x:f t="shared" si="151"/>
        <x:v>0</x:v>
      </x:c>
      <x:c r="BE138" s="289">
        <x:f t="shared" si="152"/>
        <x:v>-527.44923843097592</x:v>
      </x:c>
    </x:row>
    <x:row r="139" ht="15.75" customHeight="1">
      <x:c r="A139" s="21">
        <x:v>214</x:v>
      </x:c>
      <x:c r="B139" s="21">
        <x:f t="shared" si="19"/>
        <x:v>394</x:v>
      </x:c>
      <x:c r="C139" s="21">
        <x:f t="shared" si="0"/>
        <x:v>394</x:v>
      </x:c>
      <x:c r="D139" s="21">
        <x:f t="shared" si="20"/>
        <x:v>214</x:v>
      </x:c>
      <x:c r="E139" s="22" t="n">
        <x:f t="shared" ref="E139:H139" si="214">A139*PI()/180</x:f>
        <x:v>3.735004599267865</x:v>
      </x:c>
      <x:c r="F139" s="22">
        <x:f t="shared" si="214"/>
        <x:v>6.8765972528576578</x:v>
      </x:c>
      <x:c r="G139" s="22">
        <x:f t="shared" si="214"/>
        <x:v>6.8765972528576578</x:v>
      </x:c>
      <x:c r="H139" s="22">
        <x:f t="shared" si="214"/>
        <x:v>3.7350045992678651</x:v>
      </x:c>
      <x:c r="I139" s="23"/>
      <x:c r="J139" s="23"/>
      <x:c r="K139" s="23"/>
      <x:c r="L139" s="249">
        <x:f t="shared" si="184"/>
        <x:v>-764.71843429343539</x:v>
      </x:c>
      <x:c r="M139" s="249">
        <x:f t="shared" si="185"/>
        <x:v>764.71843429343471</x:v>
      </x:c>
      <x:c r="N139" s="249">
        <x:f t="shared" si="186"/>
        <x:v>764.71843429343471</x:v>
      </x:c>
      <x:c r="O139" s="249">
        <x:f t="shared" si="187"/>
        <x:v>-764.71843429343539</x:v>
      </x:c>
      <x:c r="P139" s="249">
        <x:f t="shared" si="188"/>
        <x:v>-2823.6114280784968</x:v>
      </x:c>
      <x:c r="Q139" s="249">
        <x:f t="shared" si="189"/>
        <x:v>3385.1556507159567</x:v>
      </x:c>
      <x:c r="R139" s="249">
        <x:f t="shared" si="190"/>
        <x:v>3385.1556507159567</x:v>
      </x:c>
      <x:c r="S139" s="249">
        <x:f t="shared" si="191"/>
        <x:v>-2823.6114280784968</x:v>
      </x:c>
      <x:c r="T139" s="23"/>
      <x:c r="U139" s="23"/>
      <x:c r="V139" s="260">
        <x:f t="shared" si="143"/>
        <x:v>-2901.3218813949579</x:v>
      </x:c>
      <x:c r="W139" s="260">
        <x:f t="shared" si="144"/>
        <x:v>-2834.8309448331297</x:v>
      </x:c>
      <x:c r="X139" s="260">
        <x:f t="shared" si="145"/>
        <x:v>3420.1210952896677</x:v>
      </x:c>
      <x:c r="Y139" s="260">
        <x:f t="shared" si="146"/>
        <x:v>2316.0317309384191</x:v>
      </x:c>
      <x:c r="Z139" s="260">
        <x:f t="shared" si="147"/>
        <x:v>-374.04160338458996</x:v>
      </x:c>
      <x:c r="AA139" s="260">
        <x:f t="shared" si="148"/>
        <x:v>2001.9506930838429</x:v>
      </x:c>
      <x:c r="AB139" s="260">
        <x:f t="shared" si="149"/>
        <x:v>588.9352739282798</x:v>
      </x:c>
      <x:c r="AC139" s="260">
        <x:f t="shared" si="150"/>
        <x:v>-1787.0570225401543</x:v>
      </x:c>
      <x:c r="AD139" s="260"/>
      <x:c r="AE139" s="282">
        <x:f t="shared" si="39"/>
        <x:v>0</x:v>
      </x:c>
      <x:c r="AF139" s="282">
        <x:f t="shared" si="10"/>
        <x:v>429.78734108737854</x:v>
      </x:c>
      <x:c r="AJ139" s="272">
        <x:f t="shared" si="192"/>
        <x:v>74.808320676918001</x:v>
      </x:c>
      <x:c r="AK139" s="272">
        <x:f t="shared" si="193"/>
        <x:v>-200.19506930838429</x:v>
      </x:c>
      <x:c r="AL139" s="272">
        <x:f t="shared" si="194"/>
        <x:v>58.893527392827984</x:v>
      </x:c>
      <x:c r="AM139" s="272">
        <x:f t="shared" si="195"/>
        <x:v>-357.4114045080309</x:v>
      </x:c>
      <x:c r="AN139" s="272">
        <x:f t="shared" si="196"/>
        <x:v>-580.26437627899156</x:v>
      </x:c>
      <x:c r="AO139" s="272">
        <x:f t="shared" si="197"/>
        <x:v>-283.48309448331298</x:v>
      </x:c>
      <x:c r="AP139" s="272">
        <x:f t="shared" si="198"/>
        <x:v>-342.01210952896679</x:v>
      </x:c>
      <x:c r="AQ139" s="272">
        <x:f t="shared" si="199"/>
        <x:v>-463.20634618768383</x:v>
      </x:c>
      <x:c r="AR139" s="272"/>
      <x:c r="AS139" s="286">
        <x:f t="shared" si="32"/>
        <x:v>-423.90462574666924</x:v>
      </x:c>
      <x:c r="AT139" s="286">
        <x:f t="shared" si="33"/>
        <x:v>-1668.9659264789552</x:v>
      </x:c>
      <x:c r="AY139" s="279">
        <x:f t="shared" si="200"/>
        <x:v>-502.93363477638377</x:v>
      </x:c>
      <x:c r="AZ139" s="279">
        <x:f t="shared" si="201"/>
        <x:v>502.93363477638377</x:v>
      </x:c>
      <x:c r="BA139" s="279">
        <x:f t="shared" si="202"/>
        <x:v>-229.20006215803417</x:v>
      </x:c>
      <x:c r="BB139" s="279">
        <x:f t="shared" si="203"/>
        <x:v>-229.20006215803417</x:v>
      </x:c>
      <x:c r="BC139" s="279"/>
      <x:c r="BD139" s="289">
        <x:f t="shared" si="151"/>
        <x:v>0</x:v>
      </x:c>
      <x:c r="BE139" s="289">
        <x:f t="shared" si="152"/>
        <x:v>-458.40012431606834</x:v>
      </x:c>
    </x:row>
    <x:row r="140" ht="15.75" customHeight="1">
      <x:c r="A140" s="21">
        <x:v>216</x:v>
      </x:c>
      <x:c r="B140" s="21">
        <x:f t="shared" si="19"/>
        <x:v>396</x:v>
      </x:c>
      <x:c r="C140" s="21">
        <x:f t="shared" si="0"/>
        <x:v>396</x:v>
      </x:c>
      <x:c r="D140" s="21">
        <x:f t="shared" si="20"/>
        <x:v>216</x:v>
      </x:c>
      <x:c r="E140" s="22" t="n">
        <x:f t="shared" ref="E140:H140" si="215">A140*PI()/180</x:f>
        <x:v>3.7699111843077517</x:v>
      </x:c>
      <x:c r="F140" s="22">
        <x:f t="shared" si="215"/>
        <x:v>6.9115038378975457</x:v>
      </x:c>
      <x:c r="G140" s="22">
        <x:f t="shared" si="215"/>
        <x:v>6.9115038378975457</x:v>
      </x:c>
      <x:c r="H140" s="22">
        <x:f t="shared" si="215"/>
        <x:v>3.7699111843077517</x:v>
      </x:c>
      <x:c r="I140" s="23"/>
      <x:c r="J140" s="23"/>
      <x:c r="K140" s="23"/>
      <x:c r="L140" s="249">
        <x:f t="shared" si="184"/>
        <x:v>-803.81960329613923</x:v>
      </x:c>
      <x:c r="M140" s="249">
        <x:f t="shared" si="185"/>
        <x:v>803.81960329613992</x:v>
      </x:c>
      <x:c r="N140" s="249">
        <x:f t="shared" si="186"/>
        <x:v>803.81960329613992</x:v>
      </x:c>
      <x:c r="O140" s="249">
        <x:f t="shared" si="187"/>
        <x:v>-803.81960329613923</x:v>
      </x:c>
      <x:c r="P140" s="249">
        <x:f t="shared" si="188"/>
        <x:v>-2797.8032959506309</x:v>
      </x:c>
      <x:c r="Q140" s="249">
        <x:f t="shared" si="189"/>
        <x:v>3261.0271444838627</x:v>
      </x:c>
      <x:c r="R140" s="249">
        <x:f t="shared" si="190"/>
        <x:v>3261.0271444838627</x:v>
      </x:c>
      <x:c r="S140" s="249">
        <x:f t="shared" si="191"/>
        <x:v>-2797.8032959506309</x:v>
      </x:c>
      <x:c r="T140" s="23"/>
      <x:c r="U140" s="23"/>
      <x:c r="V140" s="260">
        <x:f t="shared" si="143"/>
        <x:v>-2892.4416459131176</x:v>
      </x:c>
      <x:c r="W140" s="260">
        <x:f t="shared" si="144"/>
        <x:v>-2705.1877889606558</x:v>
      </x:c>
      <x:c r="X140" s="260">
        <x:f t="shared" si="145"/>
        <x:v>3320.4046785440787</x:v>
      </x:c>
      <x:c r="Y140" s="260">
        <x:f t="shared" si="146"/>
        <x:v>2277.2247563296946</x:v>
      </x:c>
      <x:c r="Z140" s="260">
        <x:f t="shared" si="147"/>
        <x:v>-328.0404890601036</x:v>
      </x:c>
      <x:c r="AA140" s="260">
        <x:f t="shared" si="148"/>
        <x:v>1990.573540003458</x:v>
      </x:c>
      <x:c r="AB140" s="260">
        <x:f t="shared" si="149"/>
        <x:v>505.30858137016662</x:v>
      </x:c>
      <x:c r="AC140" s="260">
        <x:f t="shared" si="150"/>
        <x:v>-1813.3054476933939</x:v>
      </x:c>
      <x:c r="AD140" s="260"/>
      <x:c r="AE140" s="282">
        <x:f t="shared" si="39"/>
        <x:v>0</x:v>
      </x:c>
      <x:c r="AF140" s="282">
        <x:f t="shared" si="10"/>
        <x:v>354.53618462012673</x:v>
      </x:c>
      <x:c r="AJ140" s="272">
        <x:f t="shared" si="192"/>
        <x:v>65.608097812020716</x:v>
      </x:c>
      <x:c r="AK140" s="272">
        <x:f t="shared" si="193"/>
        <x:v>-199.05735400034581</x:v>
      </x:c>
      <x:c r="AL140" s="272">
        <x:f t="shared" si="194"/>
        <x:v>50.530858137016665</x:v>
      </x:c>
      <x:c r="AM140" s="272">
        <x:f t="shared" si="195"/>
        <x:v>-362.66108953867882</x:v>
      </x:c>
      <x:c r="AN140" s="272">
        <x:f t="shared" si="196"/>
        <x:v>-578.48832918262349</x:v>
      </x:c>
      <x:c r="AO140" s="272">
        <x:f t="shared" si="197"/>
        <x:v>-270.51877889606561</x:v>
      </x:c>
      <x:c r="AP140" s="272">
        <x:f t="shared" si="198"/>
        <x:v>-332.04046785440789</x:v>
      </x:c>
      <x:c r="AQ140" s="272">
        <x:f t="shared" si="199"/>
        <x:v>-455.44495126593893</x:v>
      </x:c>
      <x:c r="AR140" s="272"/>
      <x:c r="AS140" s="286">
        <x:f t="shared" si="32"/>
        <x:v>-445.57948758998725</x:v>
      </x:c>
      <x:c r="AT140" s="286">
        <x:f t="shared" si="33"/>
        <x:v>-1636.492527199036</x:v>
      </x:c>
      <x:c r="AY140" s="279">
        <x:f t="shared" si="200"/>
        <x:v>-517.69670183750361</x:v>
      </x:c>
      <x:c r="AZ140" s="279">
        <x:f t="shared" si="201"/>
        <x:v>517.69670183750361</x:v>
      </x:c>
      <x:c r="BA140" s="279">
        <x:f t="shared" si="202"/>
        <x:v>-193.55886543685523</x:v>
      </x:c>
      <x:c r="BB140" s="279">
        <x:f t="shared" si="203"/>
        <x:v>-193.55886543685523</x:v>
      </x:c>
      <x:c r="BC140" s="279"/>
      <x:c r="BD140" s="289">
        <x:f t="shared" si="151"/>
        <x:v>0</x:v>
      </x:c>
      <x:c r="BE140" s="289">
        <x:f t="shared" si="152"/>
        <x:v>-387.11773087371046</x:v>
      </x:c>
    </x:row>
    <x:row r="141" ht="15.75" customHeight="1">
      <x:c r="A141" s="21">
        <x:v>218</x:v>
      </x:c>
      <x:c r="B141" s="21">
        <x:f t="shared" si="19"/>
        <x:v>398</x:v>
      </x:c>
      <x:c r="C141" s="21">
        <x:f t="shared" si="0"/>
        <x:v>398</x:v>
      </x:c>
      <x:c r="D141" s="21">
        <x:f t="shared" si="20"/>
        <x:v>218</x:v>
      </x:c>
      <x:c r="E141" s="22" t="n">
        <x:f t="shared" ref="E141:H141" si="216">A141*PI()/180</x:f>
        <x:v>3.804817769347638</x:v>
      </x:c>
      <x:c r="F141" s="22">
        <x:f t="shared" si="216"/>
        <x:v>6.9464104229374319</x:v>
      </x:c>
      <x:c r="G141" s="22">
        <x:f t="shared" si="216"/>
        <x:v>6.9464104229374319</x:v>
      </x:c>
      <x:c r="H141" s="22">
        <x:f t="shared" si="216"/>
        <x:v>3.8048177693476379</x:v>
      </x:c>
      <x:c r="I141" s="23"/>
      <x:c r="J141" s="23"/>
      <x:c r="K141" s="23"/>
      <x:c r="L141" s="249">
        <x:f t="shared" si="184"/>
        <x:v>-841.94144193114414</x:v>
      </x:c>
      <x:c r="M141" s="249">
        <x:f t="shared" si="185"/>
        <x:v>841.94144193114494</x:v>
      </x:c>
      <x:c r="N141" s="249">
        <x:f t="shared" si="186"/>
        <x:v>841.94144193114494</x:v>
      </x:c>
      <x:c r="O141" s="249">
        <x:f t="shared" si="187"/>
        <x:v>-841.94144193114414</x:v>
      </x:c>
      <x:c r="P141" s="249">
        <x:f t="shared" si="188"/>
        <x:v>-2769.4326780360502</x:v>
      </x:c>
      <x:c r="Q141" s="249">
        <x:f t="shared" si="189"/>
        <x:v>3132.0793724381051</x:v>
      </x:c>
      <x:c r="R141" s="249">
        <x:f t="shared" si="190"/>
        <x:v>3132.0793724381051</x:v>
      </x:c>
      <x:c r="S141" s="249">
        <x:f t="shared" si="191"/>
        <x:v>-2769.4326780360502</x:v>
      </x:c>
      <x:c r="T141" s="23"/>
      <x:c r="U141" s="23"/>
      <x:c r="V141" s="260">
        <x:f t="shared" si="143"/>
        <x:v>-2880.8192087540501</x:v>
      </x:c>
      <x:c r="W141" s="260">
        <x:f t="shared" si="144"/>
        <x:v>-2571.4669855477373</x:v>
      </x:c>
      <x:c r="X141" s="260">
        <x:f t="shared" si="145"/>
        <x:v>3215.8610672449845</x:v>
      </x:c>
      <x:c r="Y141" s="260">
        <x:f t="shared" si="146"/>
        <x:v>2236.4251270568038</x:v>
      </x:c>
      <x:c r="Z141" s="260">
        <x:f t="shared" si="147"/>
        <x:v>-281.96353716165436</x:v>
      </x:c>
      <x:c r="AA141" s="260">
        <x:f t="shared" si="148"/>
        <x:v>1976.4473504577354</x:v>
      </x:c>
      <x:c r="AB141" s="260">
        <x:f t="shared" si="149"/>
        <x:v>420.74241891128577</x:v>
      </x:c>
      <x:c r="AC141" s="260">
        <x:f t="shared" si="150"/>
        <x:v>-1837.6684687081026</x:v>
      </x:c>
      <x:c r="AD141" s="260"/>
      <x:c r="AE141" s="282">
        <x:f t="shared" si="39"/>
        <x:v>0</x:v>
      </x:c>
      <x:c r="AF141" s="282">
        <x:f t="shared" si="10"/>
        <x:v>277.55776349926396</x:v>
      </x:c>
      <x:c r="AJ141" s="272">
        <x:f t="shared" si="192"/>
        <x:v>56.392707432330873</x:v>
      </x:c>
      <x:c r="AK141" s="272">
        <x:f t="shared" si="193"/>
        <x:v>-197.64473504577356</x:v>
      </x:c>
      <x:c r="AL141" s="272">
        <x:f t="shared" si="194"/>
        <x:v>42.07424189112858</x:v>
      </x:c>
      <x:c r="AM141" s="272">
        <x:f t="shared" si="195"/>
        <x:v>-367.53369374162054</x:v>
      </x:c>
      <x:c r="AN141" s="272">
        <x:f t="shared" si="196"/>
        <x:v>-576.16384175081009</x:v>
      </x:c>
      <x:c r="AO141" s="272">
        <x:f t="shared" si="197"/>
        <x:v>-257.14669855477376</x:v>
      </x:c>
      <x:c r="AP141" s="272">
        <x:f t="shared" si="198"/>
        <x:v>-321.58610672449845</x:v>
      </x:c>
      <x:c r="AQ141" s="272">
        <x:f t="shared" si="199"/>
        <x:v>-447.28502541136078</x:v>
      </x:c>
      <x:c r="AR141" s="272"/>
      <x:c r="AS141" s="286">
        <x:f t="shared" si="32"/>
        <x:v>-466.71147946393467</x:v>
      </x:c>
      <x:c r="AT141" s="286">
        <x:f t="shared" si="33"/>
        <x:v>-1602.181672441443</x:v>
      </x:c>
      <x:c r="AY141" s="279">
        <x:f t="shared" si="200"/>
        <x:v>-529.93760260596116</x:v>
      </x:c>
      <x:c r="AZ141" s="279">
        <x:f t="shared" si="201"/>
        <x:v>529.93760260596116</x:v>
      </x:c>
      <x:c r="BA141" s="279">
        <x:f t="shared" si="202"/>
        <x:v>-156.97466937973792</x:v>
      </x:c>
      <x:c r="BB141" s="279">
        <x:f t="shared" si="203"/>
        <x:v>-156.97466937973792</x:v>
      </x:c>
      <x:c r="BC141" s="279"/>
      <x:c r="BD141" s="289">
        <x:f t="shared" si="151"/>
        <x:v>0</x:v>
      </x:c>
      <x:c r="BE141" s="289">
        <x:f t="shared" si="152"/>
        <x:v>-313.94933875947584</x:v>
      </x:c>
    </x:row>
    <x:row r="142" ht="15.75" customHeight="1">
      <x:c r="A142" s="21">
        <x:v>220</x:v>
      </x:c>
      <x:c r="B142" s="21">
        <x:f t="shared" si="19"/>
        <x:v>400</x:v>
      </x:c>
      <x:c r="C142" s="21">
        <x:f t="shared" si="0"/>
        <x:v>400</x:v>
      </x:c>
      <x:c r="D142" s="21">
        <x:f t="shared" si="20"/>
        <x:v>220</x:v>
      </x:c>
      <x:c r="E142" s="22" t="n">
        <x:f t="shared" ref="E142:H142" si="217">A142*PI()/180</x:f>
        <x:v>3.839724354387525</x:v>
      </x:c>
      <x:c r="F142" s="22">
        <x:f t="shared" si="217"/>
        <x:v>6.9813170079773181</x:v>
      </x:c>
      <x:c r="G142" s="22">
        <x:f t="shared" si="217"/>
        <x:v>6.9813170079773181</x:v>
      </x:c>
      <x:c r="H142" s="22">
        <x:f t="shared" si="217"/>
        <x:v>3.839724354387525</x:v>
      </x:c>
      <x:c r="I142" s="23"/>
      <x:c r="J142" s="23"/>
      <x:c r="K142" s="23"/>
      <x:c r="L142" s="249">
        <x:f t="shared" si="184"/>
        <x:v>-879.03750461029392</x:v>
      </x:c>
      <x:c r="M142" s="249">
        <x:f t="shared" si="185"/>
        <x:v>879.03750461029381</x:v>
      </x:c>
      <x:c r="N142" s="249">
        <x:f t="shared" si="186"/>
        <x:v>879.03750461029381</x:v>
      </x:c>
      <x:c r="O142" s="249">
        <x:f t="shared" si="187"/>
        <x:v>-879.03750461029392</x:v>
      </x:c>
      <x:c r="P142" s="249">
        <x:f t="shared" si="188"/>
        <x:v>-2738.3504075548431</x:v>
      </x:c>
      <x:c r="Q142" s="249">
        <x:f t="shared" si="189"/>
        <x:v>2998.653169583713</x:v>
      </x:c>
      <x:c r="R142" s="249">
        <x:f t="shared" si="190"/>
        <x:v>2998.653169583713</x:v>
      </x:c>
      <x:c r="S142" s="249">
        <x:f t="shared" si="191"/>
        <x:v>-2738.3504075548431</x:v>
      </x:c>
      <x:c r="T142" s="23"/>
      <x:c r="U142" s="23"/>
      <x:c r="V142" s="260">
        <x:f t="shared" si="143"/>
        <x:v>-2866.2989838257708</x:v>
      </x:c>
      <x:c r="W142" s="260">
        <x:f t="shared" si="144"/>
        <x:v>-2434.0011990365779</x:v>
      </x:c>
      <x:c r="X142" s="260">
        <x:f t="shared" si="145"/>
        <x:v>3106.7873779203996</x:v>
      </x:c>
      <x:c r="Y142" s="260">
        <x:f t="shared" si="146"/>
        <x:v>2193.5128049419491</x:v>
      </x:c>
      <x:c r="Z142" s="260">
        <x:f t="shared" si="147"/>
        <x:v>-235.79657416218356</x:v>
      </x:c>
      <x:c r="AA142" s="260">
        <x:f t="shared" si="148"/>
        <x:v>1959.6596462279972</x:v>
      </x:c>
      <x:c r="AB142" s="260">
        <x:f t="shared" si="149"/>
        <x:v>335.41012858950478</x:v>
      </x:c>
      <x:c r="AC142" s="260">
        <x:f t="shared" si="150"/>
        <x:v>-1860.0460918006763</x:v>
      </x:c>
      <x:c r="AD142" s="260"/>
      <x:c r="AE142" s="282">
        <x:f t="shared" si="39"/>
        <x:v>0</x:v>
      </x:c>
      <x:c r="AF142" s="282">
        <x:f t="shared" si="10"/>
        <x:v>199.22710885464198</x:v>
      </x:c>
      <x:c r="AJ142" s="272">
        <x:f t="shared" si="192"/>
        <x:v>47.159314832436714</x:v>
      </x:c>
      <x:c r="AK142" s="272">
        <x:f t="shared" si="193"/>
        <x:v>-195.96596462279973</x:v>
      </x:c>
      <x:c r="AL142" s="272">
        <x:f t="shared" si="194"/>
        <x:v>33.541012858950481</x:v>
      </x:c>
      <x:c r="AM142" s="272">
        <x:f t="shared" si="195"/>
        <x:v>-372.00921836013526</x:v>
      </x:c>
      <x:c r="AN142" s="272">
        <x:f t="shared" si="196"/>
        <x:v>-573.25979676515419</x:v>
      </x:c>
      <x:c r="AO142" s="272">
        <x:f t="shared" si="197"/>
        <x:v>-243.40011990365781</x:v>
      </x:c>
      <x:c r="AP142" s="272">
        <x:f t="shared" si="198"/>
        <x:v>-310.67873779204001</x:v>
      </x:c>
      <x:c r="AQ142" s="272">
        <x:f t="shared" si="199"/>
        <x:v>-438.70256098838985</x:v>
      </x:c>
      <x:c r="AR142" s="272"/>
      <x:c r="AS142" s="286">
        <x:f t="shared" si="32"/>
        <x:v>-487.27485529154779</x:v>
      </x:c>
      <x:c r="AT142" s="286">
        <x:f t="shared" si="33"/>
        <x:v>-1566.0412154492419</x:v>
      </x:c>
      <x:c r="AY142" s="279">
        <x:f t="shared" si="200"/>
        <x:v>-539.59670064366424</x:v>
      </x:c>
      <x:c r="AZ142" s="279">
        <x:f t="shared" si="201"/>
        <x:v>539.59670064366424</x:v>
      </x:c>
      <x:c r="BA142" s="279">
        <x:f t="shared" si="202"/>
        <x:v>-119.62570851244116</x:v>
      </x:c>
      <x:c r="BB142" s="279">
        <x:f t="shared" si="203"/>
        <x:v>-119.62570851244116</x:v>
      </x:c>
      <x:c r="BC142" s="279"/>
      <x:c r="BD142" s="289">
        <x:f t="shared" si="151"/>
        <x:v>0</x:v>
      </x:c>
      <x:c r="BE142" s="289">
        <x:f t="shared" si="152"/>
        <x:v>-239.25141702488233</x:v>
      </x:c>
    </x:row>
    <x:row r="143" ht="15.75" customHeight="1">
      <x:c r="A143" s="21">
        <x:v>222</x:v>
      </x:c>
      <x:c r="B143" s="21">
        <x:f t="shared" si="19"/>
        <x:v>402</x:v>
      </x:c>
      <x:c r="C143" s="21">
        <x:f t="shared" si="0"/>
        <x:v>402</x:v>
      </x:c>
      <x:c r="D143" s="21">
        <x:f t="shared" si="20"/>
        <x:v>222</x:v>
      </x:c>
      <x:c r="E143" s="22" t="n">
        <x:f t="shared" ref="E143:H143" si="218">A143*PI()/180</x:f>
        <x:v>3.8746309394274117</x:v>
      </x:c>
      <x:c r="F143" s="22">
        <x:f t="shared" si="218"/>
        <x:v>7.0162235930172052</x:v>
      </x:c>
      <x:c r="G143" s="22">
        <x:f t="shared" si="218"/>
        <x:v>7.0162235930172052</x:v>
      </x:c>
      <x:c r="H143" s="22">
        <x:f t="shared" si="218"/>
        <x:v>3.8746309394274117</x:v>
      </x:c>
      <x:c r="I143" s="23"/>
      <x:c r="J143" s="23"/>
      <x:c r="K143" s="23"/>
      <x:c r="L143" s="249">
        <x:f t="shared" si="184"/>
        <x:v>-915.06259549542324</x:v>
      </x:c>
      <x:c r="M143" s="249">
        <x:f t="shared" si="185"/>
        <x:v>915.06259549542347</x:v>
      </x:c>
      <x:c r="N143" s="249">
        <x:f t="shared" si="186"/>
        <x:v>915.06259549542347</x:v>
      </x:c>
      <x:c r="O143" s="249">
        <x:f t="shared" si="187"/>
        <x:v>-915.06259549542324</x:v>
      </x:c>
      <x:c r="P143" s="249">
        <x:f t="shared" si="188"/>
        <x:v>-2704.4073939486238</x:v>
      </x:c>
      <x:c r="Q143" s="249">
        <x:f t="shared" si="189"/>
        <x:v>2861.0980547132422</x:v>
      </x:c>
      <x:c r="R143" s="249">
        <x:f t="shared" si="190"/>
        <x:v>2861.0980547132422</x:v>
      </x:c>
      <x:c r="S143" s="249">
        <x:f t="shared" si="191"/>
        <x:v>-2704.4073939486238</x:v>
      </x:c>
      <x:c r="T143" s="23"/>
      <x:c r="U143" s="23"/>
      <x:c r="V143" s="260">
        <x:f t="shared" si="143"/>
        <x:v>-2848.7259337144183</x:v>
      </x:c>
      <x:c r="W143" s="260">
        <x:f t="shared" si="144"/>
        <x:v>-2293.1306383843257</x:v>
      </x:c>
      <x:c r="X143" s="260">
        <x:f t="shared" si="145"/>
        <x:v>2993.4892281305183</x:v>
      </x:c>
      <x:c r="Y143" s="260">
        <x:f t="shared" si="146"/>
        <x:v>2148.3673439682257</x:v>
      </x:c>
      <x:c r="Z143" s="260">
        <x:f t="shared" si="147"/>
        <x:v>-189.5243010849108</x:v>
      </x:c>
      <x:c r="AA143" s="260">
        <x:f t="shared" si="148"/>
        <x:v>1940.3024268556217</x:v>
      </x:c>
      <x:c r="AB143" s="260">
        <x:f t="shared" si="149"/>
        <x:v>249.48722096586857</x:v>
      </x:c>
      <x:c r="AC143" s="260">
        <x:f t="shared" si="150"/>
        <x:v>-1880.3395069746634</x:v>
      </x:c>
      <x:c r="AD143" s="260"/>
      <x:c r="AE143" s="282">
        <x:f t="shared" si="39"/>
        <x:v>0</x:v>
      </x:c>
      <x:c r="AF143" s="282">
        <x:f t="shared" si="10"/>
        <x:v>119.925839761916</x:v>
      </x:c>
      <x:c r="AJ143" s="272">
        <x:f t="shared" si="192"/>
        <x:v>37.904860216982165</x:v>
      </x:c>
      <x:c r="AK143" s="272">
        <x:f t="shared" si="193"/>
        <x:v>-194.03024268556217</x:v>
      </x:c>
      <x:c r="AL143" s="272">
        <x:f t="shared" si="194"/>
        <x:v>24.948722096586859</x:v>
      </x:c>
      <x:c r="AM143" s="272">
        <x:f t="shared" si="195"/>
        <x:v>-376.06790139493273</x:v>
      </x:c>
      <x:c r="AN143" s="272">
        <x:f t="shared" si="196"/>
        <x:v>-569.74518674288367</x:v>
      </x:c>
      <x:c r="AO143" s="272">
        <x:f t="shared" si="197"/>
        <x:v>-229.31306383843258</x:v>
      </x:c>
      <x:c r="AP143" s="272">
        <x:f t="shared" si="198"/>
        <x:v>-299.34892281305184</x:v>
      </x:c>
      <x:c r="AQ143" s="272">
        <x:f t="shared" si="199"/>
        <x:v>-429.67346879364516</x:v>
      </x:c>
      <x:c r="AR143" s="272"/>
      <x:c r="AS143" s="286">
        <x:f t="shared" si="32"/>
        <x:v>-507.24456176692587</x:v>
      </x:c>
      <x:c r="AT143" s="286">
        <x:f t="shared" si="33"/>
        <x:v>-1528.0806421880134</x:v>
      </x:c>
      <x:c r="AY143" s="279">
        <x:f t="shared" si="200"/>
        <x:v>-546.62693779590211</x:v>
      </x:c>
      <x:c r="AZ143" s="279">
        <x:f t="shared" si="201"/>
        <x:v>546.62693779590211</x:v>
      </x:c>
      <x:c r="BA143" s="279">
        <x:f t="shared" si="202"/>
        <x:v>-81.693943218005003</x:v>
      </x:c>
      <x:c r="BB143" s="279">
        <x:f t="shared" si="203"/>
        <x:v>-81.693943218005003</x:v>
      </x:c>
      <x:c r="BC143" s="279"/>
      <x:c r="BD143" s="289">
        <x:f t="shared" si="151"/>
        <x:v>0</x:v>
      </x:c>
      <x:c r="BE143" s="289">
        <x:f t="shared" si="152"/>
        <x:v>-163.38788643601001</x:v>
      </x:c>
    </x:row>
    <x:row r="144" ht="15.75" customHeight="1">
      <x:c r="A144" s="21">
        <x:v>224</x:v>
      </x:c>
      <x:c r="B144" s="21">
        <x:f t="shared" si="19"/>
        <x:v>404</x:v>
      </x:c>
      <x:c r="C144" s="21">
        <x:f t="shared" si="0"/>
        <x:v>404</x:v>
      </x:c>
      <x:c r="D144" s="21">
        <x:f t="shared" si="20"/>
        <x:v>224</x:v>
      </x:c>
      <x:c r="E144" s="22" t="n">
        <x:f t="shared" ref="E144:H144" si="219">A144*PI()/180</x:f>
        <x:v>3.9095375244672983</x:v>
      </x:c>
      <x:c r="F144" s="22">
        <x:f t="shared" si="219"/>
        <x:v>7.0511301780570914</x:v>
      </x:c>
      <x:c r="G144" s="22">
        <x:f t="shared" si="219"/>
        <x:v>7.0511301780570914</x:v>
      </x:c>
      <x:c r="H144" s="22">
        <x:f t="shared" si="219"/>
        <x:v>3.9095375244672983</x:v>
      </x:c>
      <x:c r="I144" s="23"/>
      <x:c r="J144" s="23"/>
      <x:c r="K144" s="23"/>
      <x:c r="L144" s="249">
        <x:f t="shared" si="184"/>
        <x:v>-949.97282356252845</x:v>
      </x:c>
      <x:c r="M144" s="249">
        <x:f t="shared" si="185"/>
        <x:v>949.97282356252833</x:v>
      </x:c>
      <x:c r="N144" s="249">
        <x:f t="shared" si="186"/>
        <x:v>949.97282356252833</x:v>
      </x:c>
      <x:c r="O144" s="249">
        <x:f t="shared" si="187"/>
        <x:v>-949.97282356252845</x:v>
      </x:c>
      <x:c r="P144" s="249">
        <x:f t="shared" si="188"/>
        <x:v>-2667.4557153723817</x:v>
      </x:c>
      <x:c r="Q144" s="249">
        <x:f t="shared" si="189"/>
        <x:v>2719.7708937239972</x:v>
      </x:c>
      <x:c r="R144" s="249">
        <x:f t="shared" si="190"/>
        <x:v>2719.7708937239972</x:v>
      </x:c>
      <x:c r="S144" s="249">
        <x:f t="shared" si="191"/>
        <x:v>-2667.4557153723817</x:v>
      </x:c>
      <x:c r="T144" s="23"/>
      <x:c r="U144" s="23"/>
      <x:c r="V144" s="260">
        <x:f t="shared" si="143"/>
        <x:v>-2827.9466000872603</x:v>
      </x:c>
      <x:c r="W144" s="260">
        <x:f t="shared" si="144"/>
        <x:v>-2149.2018010570669</x:v>
      </x:c>
      <x:c r="X144" s="260">
        <x:f t="shared" si="145"/>
        <x:v>2876.2795226059957</x:v>
      </x:c>
      <x:c r="Y144" s="260">
        <x:f t="shared" si="146"/>
        <x:v>2100.8688785383315</x:v>
      </x:c>
      <x:c r="Z144" s="260">
        <x:f t="shared" si="147"/>
        <x:v>-143.13066070920331</x:v>
      </x:c>
      <x:c r="AA144" s="260">
        <x:f t="shared" si="148"/>
        <x:v>1918.4717089883429</x:v>
      </x:c>
      <x:c r="AB144" s="260">
        <x:f t="shared" si="149"/>
        <x:v>163.15081272559144</x:v>
      </x:c>
      <x:c r="AC144" s="260">
        <x:f t="shared" si="150"/>
        <x:v>-1898.4515569719551</x:v>
      </x:c>
      <x:c r="AD144" s="260"/>
      <x:c r="AE144" s="282">
        <x:f t="shared" si="39"/>
        <x:v>0</x:v>
      </x:c>
      <x:c r="AF144" s="282">
        <x:f t="shared" si="10"/>
        <x:v>40.040304032776021</x:v>
      </x:c>
      <x:c r="AJ144" s="272">
        <x:f t="shared" si="192"/>
        <x:v>28.626132141840664</x:v>
      </x:c>
      <x:c r="AK144" s="272">
        <x:f t="shared" si="193"/>
        <x:v>-191.84717089883429</x:v>
      </x:c>
      <x:c r="AL144" s="272">
        <x:f t="shared" si="194"/>
        <x:v>16.315081272559144</x:v>
      </x:c>
      <x:c r="AM144" s="272">
        <x:f t="shared" si="195"/>
        <x:v>-379.69031139439107</x:v>
      </x:c>
      <x:c r="AN144" s="272">
        <x:f t="shared" si="196"/>
        <x:v>-565.58932001745211</x:v>
      </x:c>
      <x:c r="AO144" s="272">
        <x:f t="shared" si="197"/>
        <x:v>-214.92018010570669</x:v>
      </x:c>
      <x:c r="AP144" s="272">
        <x:f t="shared" si="198"/>
        <x:v>-287.62795226059956</x:v>
      </x:c>
      <x:c r="AQ144" s="272">
        <x:f t="shared" si="199"/>
        <x:v>-420.17377570766632</x:v>
      </x:c>
      <x:c r="AR144" s="272"/>
      <x:c r="AS144" s="286">
        <x:f t="shared" si="32"/>
        <x:v>-526.59626887882553</x:v>
      </x:c>
      <x:c r="AT144" s="286">
        <x:f t="shared" si="33"/>
        <x:v>-1488.3112280914247</x:v>
      </x:c>
      <x:c r="AY144" s="279">
        <x:f t="shared" si="200"/>
        <x:v>-550.99406345394596</x:v>
      </x:c>
      <x:c r="AZ144" s="279">
        <x:f t="shared" si="201"/>
        <x:v>550.99406345394596</x:v>
      </x:c>
      <x:c r="BA144" s="279">
        <x:f t="shared" si="202"/>
        <x:v>-43.364173244058151</x:v>
      </x:c>
      <x:c r="BB144" s="279">
        <x:f t="shared" si="203"/>
        <x:v>-43.364173244058151</x:v>
      </x:c>
      <x:c r="BC144" s="279"/>
      <x:c r="BD144" s="289">
        <x:f t="shared" si="151"/>
        <x:v>0</x:v>
      </x:c>
      <x:c r="BE144" s="289">
        <x:f t="shared" si="152"/>
        <x:v>-86.728346488116301</x:v>
      </x:c>
    </x:row>
    <x:row r="145" ht="15.75" customHeight="1">
      <x:c r="A145" s="21">
        <x:v>226</x:v>
      </x:c>
      <x:c r="B145" s="21">
        <x:f t="shared" si="19"/>
        <x:v>406</x:v>
      </x:c>
      <x:c r="C145" s="21">
        <x:f t="shared" si="0"/>
        <x:v>406</x:v>
      </x:c>
      <x:c r="D145" s="21">
        <x:f t="shared" si="20"/>
        <x:v>226</x:v>
      </x:c>
      <x:c r="E145" s="22" t="n">
        <x:f t="shared" ref="E145:H145" si="220">A145*PI()/180</x:f>
        <x:v>3.9444441095071845</x:v>
      </x:c>
      <x:c r="F145" s="22">
        <x:f t="shared" si="220"/>
        <x:v>7.0860367630969776</x:v>
      </x:c>
      <x:c r="G145" s="22">
        <x:f t="shared" si="220"/>
        <x:v>7.0860367630969776</x:v>
      </x:c>
      <x:c r="H145" s="22">
        <x:f t="shared" si="220"/>
        <x:v>3.9444441095071845</x:v>
      </x:c>
      <x:c r="I145" s="23"/>
      <x:c r="J145" s="23"/>
      <x:c r="K145" s="23"/>
      <x:c r="L145" s="249">
        <x:f t="shared" si="184"/>
        <x:v>-983.725656076218</x:v>
      </x:c>
      <x:c r="M145" s="249">
        <x:f t="shared" si="185"/>
        <x:v>983.725656076218</x:v>
      </x:c>
      <x:c r="N145" s="249">
        <x:f t="shared" si="186"/>
        <x:v>983.725656076218</x:v>
      </x:c>
      <x:c r="O145" s="249">
        <x:f t="shared" si="187"/>
        <x:v>-983.725656076218</x:v>
      </x:c>
      <x:c r="P145" s="249">
        <x:f t="shared" si="188"/>
        <x:v>-2627.3497210489832</x:v>
      </x:c>
      <x:c r="Q145" s="249">
        <x:f t="shared" si="189"/>
        <x:v>2575.034542697369</x:v>
      </x:c>
      <x:c r="R145" s="249">
        <x:f t="shared" si="190"/>
        <x:v>2575.034542697369</x:v>
      </x:c>
      <x:c r="S145" s="249">
        <x:f t="shared" si="191"/>
        <x:v>-2627.3497210489832</x:v>
      </x:c>
      <x:c r="T145" s="23"/>
      <x:c r="U145" s="23"/>
      <x:c r="V145" s="260">
        <x:f t="shared" si="143"/>
        <x:v>-2803.8101425992409</x:v>
      </x:c>
      <x:c r="W145" s="260">
        <x:f t="shared" si="144"/>
        <x:v>-2002.5661989348134</x:v>
      </x:c>
      <x:c r="X145" s="260">
        <x:f t="shared" si="145"/>
        <x:v>2755.4772200805073</x:v>
      </x:c>
      <x:c r="Y145" s="260">
        <x:f t="shared" si="146"/>
        <x:v>2050.8991214535472</x:v>
      </x:c>
      <x:c r="Z145" s="260">
        <x:f t="shared" si="147"/>
        <x:v>-96.599210019431098</x:v>
      </x:c>
      <x:c r="AA145" s="260">
        <x:f t="shared" si="148"/>
        <x:v>1894.2670565131539</x:v>
      </x:c>
      <x:c r="AB145" s="260">
        <x:f t="shared" si="149"/>
        <x:v>76.579058003043542</x:v>
      </x:c>
      <x:c r="AC145" s="260">
        <x:f t="shared" si="150"/>
        <x:v>-1914.2872085295412</x:v>
      </x:c>
      <x:c r="AD145" s="260"/>
      <x:c r="AE145" s="282">
        <x:f t="shared" si="39"/>
        <x:v>0</x:v>
      </x:c>
      <x:c r="AF145" s="282">
        <x:f t="shared" si="10"/>
        <x:v>-40.040304032775111</x:v>
      </x:c>
      <x:c r="AJ145" s="272">
        <x:f t="shared" si="192"/>
        <x:v>19.319842003886222</x:v>
      </x:c>
      <x:c r="AK145" s="272">
        <x:f t="shared" si="193"/>
        <x:v>-189.42670565131539</x:v>
      </x:c>
      <x:c r="AL145" s="272">
        <x:f t="shared" si="194"/>
        <x:v>7.6579058003043547</x:v>
      </x:c>
      <x:c r="AM145" s="272">
        <x:f t="shared" si="195"/>
        <x:v>-382.85744170590829</x:v>
      </x:c>
      <x:c r="AN145" s="272">
        <x:f t="shared" si="196"/>
        <x:v>-560.76202851984817</x:v>
      </x:c>
      <x:c r="AO145" s="272">
        <x:f t="shared" si="197"/>
        <x:v>-200.25661989348134</x:v>
      </x:c>
      <x:c r="AP145" s="272">
        <x:f t="shared" si="198"/>
        <x:v>-275.54772200805075</x:v>
      </x:c>
      <x:c r="AQ145" s="272">
        <x:f t="shared" si="199"/>
        <x:v>-410.17982429070946</x:v>
      </x:c>
      <x:c r="AR145" s="272"/>
      <x:c r="AS145" s="286">
        <x:f t="shared" si="32"/>
        <x:v>-545.30639955303309</x:v>
      </x:c>
      <x:c r="AT145" s="286">
        <x:f t="shared" si="33"/>
        <x:v>-1446.7461947120896</x:v>
      </x:c>
      <x:c r="AY145" s="279">
        <x:f t="shared" si="200"/>
        <x:v>-552.67680142057179</x:v>
      </x:c>
      <x:c r="AZ145" s="279">
        <x:f t="shared" si="201"/>
        <x:v>552.67680142057179</x:v>
      </x:c>
      <x:c r="BA145" s="279">
        <x:f t="shared" si="202"/>
        <x:v>-4.8231373770167156</x:v>
      </x:c>
      <x:c r="BB145" s="279">
        <x:f t="shared" si="203"/>
        <x:v>-4.8231373770167156</x:v>
      </x:c>
      <x:c r="BC145" s="279"/>
      <x:c r="BD145" s="289">
        <x:f t="shared" si="151"/>
        <x:v>0</x:v>
      </x:c>
      <x:c r="BE145" s="289">
        <x:f t="shared" si="152"/>
        <x:v>-9.6462747540334313</x:v>
      </x:c>
    </x:row>
    <x:row r="146" ht="15.75" customHeight="1">
      <x:c r="A146" s="21">
        <x:v>228</x:v>
      </x:c>
      <x:c r="B146" s="21">
        <x:f t="shared" si="19"/>
        <x:v>408</x:v>
      </x:c>
      <x:c r="C146" s="21">
        <x:f t="shared" si="0"/>
        <x:v>408</x:v>
      </x:c>
      <x:c r="D146" s="21">
        <x:f t="shared" si="20"/>
        <x:v>228</x:v>
      </x:c>
      <x:c r="E146" s="22" t="n">
        <x:f t="shared" ref="E146:H146" si="221">A146*PI()/180</x:f>
        <x:v>3.979350694547071</x:v>
      </x:c>
      <x:c r="F146" s="22">
        <x:f t="shared" si="221"/>
        <x:v>7.1209433481368638</x:v>
      </x:c>
      <x:c r="G146" s="22">
        <x:f t="shared" si="221"/>
        <x:v>7.1209433481368638</x:v>
      </x:c>
      <x:c r="H146" s="22">
        <x:f t="shared" si="221"/>
        <x:v>3.9793506945470711</x:v>
      </x:c>
      <x:c r="I146" s="23"/>
      <x:c r="J146" s="23"/>
      <x:c r="K146" s="23"/>
      <x:c r="L146" s="249">
        <x:f t="shared" si="184"/>
        <x:v>-1016.2799704093001</x:v>
      </x:c>
      <x:c r="M146" s="249">
        <x:f t="shared" si="185"/>
        <x:v>1016.2799704092996</x:v>
      </x:c>
      <x:c r="N146" s="249">
        <x:f t="shared" si="186"/>
        <x:v>1016.2799704092996</x:v>
      </x:c>
      <x:c r="O146" s="249">
        <x:f t="shared" si="187"/>
        <x:v>-1016.2799704093001</x:v>
      </x:c>
      <x:c r="P146" s="249">
        <x:f t="shared" si="188"/>
        <x:v>-2583.9471376507149</x:v>
      </x:c>
      <x:c r="Q146" s="249">
        <x:f t="shared" si="189"/>
        <x:v>2427.2564768860989</x:v>
      </x:c>
      <x:c r="R146" s="249">
        <x:f t="shared" si="190"/>
        <x:v>2427.2564768860989</x:v>
      </x:c>
      <x:c r="S146" s="249">
        <x:f t="shared" si="191"/>
        <x:v>-2583.9471376507149</x:v>
      </x:c>
      <x:c r="T146" s="23"/>
      <x:c r="U146" s="23"/>
      <x:c r="V146" s="260">
        <x:f t="shared" si="143"/>
        <x:v>-2776.1693808867426</x:v>
      </x:c>
      <x:c r="W146" s="260">
        <x:f t="shared" si="144"/>
        <x:v>-1853.5790718303992</x:v>
      </x:c>
      <x:c r="X146" s="260">
        <x:f t="shared" si="145"/>
        <x:v>2631.4060864706448</x:v>
      </x:c>
      <x:c r="Y146" s="260">
        <x:f t="shared" si="146"/>
        <x:v>1998.342366246497</x:v>
      </x:c>
      <x:c r="Z146" s="260">
        <x:f t="shared" si="147"/>
        <x:v>-49.913495723796359</x:v>
      </x:c>
      <x:c r="AA146" s="260">
        <x:f t="shared" si="148"/>
        <x:v>1867.7911037674958</x:v>
      </x:c>
      <x:c r="AB146" s="260">
        <x:f t="shared" si="149"/>
        <x:v>-10.049424157160388</x:v>
      </x:c>
      <x:c r="AC146" s="260">
        <x:f t="shared" si="150"/>
        <x:v>-1927.7540236484533</x:v>
      </x:c>
      <x:c r="AD146" s="260"/>
      <x:c r="AE146" s="282">
        <x:f t="shared" si="39"/>
        <x:v>0</x:v>
      </x:c>
      <x:c r="AF146" s="282">
        <x:f t="shared" si="10"/>
        <x:v>-119.92583976191418</x:v>
      </x:c>
      <x:c r="AJ146" s="272">
        <x:f t="shared" si="192"/>
        <x:v>9.9826991447592732</x:v>
      </x:c>
      <x:c r="AK146" s="272">
        <x:f t="shared" si="193"/>
        <x:v>-186.7791103767496</x:v>
      </x:c>
      <x:c r="AL146" s="272">
        <x:f t="shared" si="194"/>
        <x:v>-1.0049424157160389</x:v>
      </x:c>
      <x:c r="AM146" s="272">
        <x:f t="shared" si="195"/>
        <x:v>-385.5508047296907</x:v>
      </x:c>
      <x:c r="AN146" s="272">
        <x:f t="shared" si="196"/>
        <x:v>-555.23387617734852</x:v>
      </x:c>
      <x:c r="AO146" s="272">
        <x:f t="shared" si="197"/>
        <x:v>-185.35790718303994</x:v>
      </x:c>
      <x:c r="AP146" s="272">
        <x:f t="shared" si="198"/>
        <x:v>-263.14060864706448</x:v>
      </x:c>
      <x:c r="AQ146" s="272">
        <x:f t="shared" si="199"/>
        <x:v>-399.66847324929944</x:v>
      </x:c>
      <x:c r="AR146" s="272"/>
      <x:c r="AS146" s="286">
        <x:f t="shared" si="32"/>
        <x:v>-563.35215837739702</x:v>
      </x:c>
      <x:c r="AT146" s="286">
        <x:f t="shared" si="33"/>
        <x:v>-1403.4008652567525</x:v>
      </x:c>
      <x:c r="AY146" s="279">
        <x:f t="shared" si="200"/>
        <x:v>-551.66695356555442</x:v>
      </x:c>
      <x:c r="AZ146" s="279">
        <x:f t="shared" si="201"/>
        <x:v>551.66695356555442</x:v>
      </x:c>
      <x:c r="BA146" s="279">
        <x:f t="shared" si="202"/>
        <x:v>33.741396330504486</x:v>
      </x:c>
      <x:c r="BB146" s="279">
        <x:f t="shared" si="203"/>
        <x:v>33.741396330504486</x:v>
      </x:c>
      <x:c r="BC146" s="279"/>
      <x:c r="BD146" s="289">
        <x:f t="shared" si="151"/>
        <x:v>0</x:v>
      </x:c>
      <x:c r="BE146" s="289">
        <x:f t="shared" si="152"/>
        <x:v>67.482792661008972</x:v>
      </x:c>
    </x:row>
    <x:row r="147" ht="15.75" customHeight="1">
      <x:c r="A147" s="21">
        <x:v>230</x:v>
      </x:c>
      <x:c r="B147" s="21">
        <x:f t="shared" si="19"/>
        <x:v>410</x:v>
      </x:c>
      <x:c r="C147" s="21">
        <x:f t="shared" si="0"/>
        <x:v>410</x:v>
      </x:c>
      <x:c r="D147" s="21">
        <x:f t="shared" si="20"/>
        <x:v>230</x:v>
      </x:c>
      <x:c r="E147" s="22" t="n">
        <x:f t="shared" ref="E147:H147" si="222">A147*PI()/180</x:f>
        <x:v>4.014257279586958</x:v>
      </x:c>
      <x:c r="F147" s="22">
        <x:f t="shared" si="222"/>
        <x:v>7.1558499331767509</x:v>
      </x:c>
      <x:c r="G147" s="22">
        <x:f t="shared" si="222"/>
        <x:v>7.1558499331767509</x:v>
      </x:c>
      <x:c r="H147" s="22">
        <x:f t="shared" si="222"/>
        <x:v>4.0142572795869578</x:v>
      </x:c>
      <x:c r="I147" s="23"/>
      <x:c r="J147" s="23"/>
      <x:c r="K147" s="23"/>
      <x:c r="L147" s="249">
        <x:f t="shared" si="184"/>
        <x:v>-1047.5961041443672</x:v>
      </x:c>
      <x:c r="M147" s="249">
        <x:f t="shared" si="185"/>
        <x:v>1047.596104144367</x:v>
      </x:c>
      <x:c r="N147" s="249">
        <x:f t="shared" si="186"/>
        <x:v>1047.596104144367</x:v>
      </x:c>
      <x:c r="O147" s="249">
        <x:f t="shared" si="187"/>
        <x:v>-1047.5961041443672</x:v>
      </x:c>
      <x:c r="P147" s="249">
        <x:f t="shared" si="188"/>
        <x:v>-2537.1101738342836</x:v>
      </x:c>
      <x:c r="Q147" s="249">
        <x:f t="shared" si="189"/>
        <x:v>2276.8074118054155</x:v>
      </x:c>
      <x:c r="R147" s="249">
        <x:f t="shared" si="190"/>
        <x:v>2276.8074118054155</x:v>
      </x:c>
      <x:c r="S147" s="249">
        <x:f t="shared" si="191"/>
        <x:v>-2537.1101738342836</x:v>
      </x:c>
      <x:c r="T147" s="23"/>
      <x:c r="U147" s="23"/>
      <x:c r="V147" s="260">
        <x:f t="shared" si="143"/>
        <x:v>-2744.8818341979099</x:v>
      </x:c>
      <x:c r="W147" s="260">
        <x:f t="shared" si="144"/>
        <x:v>-1702.5980943707577</x:v>
      </x:c>
      <x:c r="X147" s="260">
        <x:f t="shared" si="145"/>
        <x:v>2504.3934401032825</x:v>
      </x:c>
      <x:c r="Y147" s="260">
        <x:f t="shared" si="146"/>
        <x:v>1943.0864884653849</x:v>
      </x:c>
      <x:c r="Z147" s="260">
        <x:f t="shared" si="147"/>
        <x:v>-3.0574306537500888</x:v>
      </x:c>
      <x:c r="AA147" s="260">
        <x:f t="shared" si="148"/>
        <x:v>1839.1490741415159</x:v>
      </x:c>
      <x:c r="AB147" s="260">
        <x:f t="shared" si="149"/>
        <x:v>-96.556123773569993</x:v>
      </x:c>
      <x:c r="AC147" s="260">
        <x:f t="shared" si="150"/>
        <x:v>-1938.7626285688366</x:v>
      </x:c>
      <x:c r="AD147" s="260"/>
      <x:c r="AE147" s="282">
        <x:f t="shared" si="39"/>
        <x:v>0</x:v>
      </x:c>
      <x:c r="AF147" s="282">
        <x:f t="shared" si="10"/>
        <x:v>-199.22710885464085</x:v>
      </x:c>
      <x:c r="AJ147" s="272">
        <x:f t="shared" si="192"/>
        <x:v>0.61148613075001779</x:v>
      </x:c>
      <x:c r="AK147" s="272">
        <x:f t="shared" si="193"/>
        <x:v>-183.9149074141516</x:v>
      </x:c>
      <x:c r="AL147" s="272">
        <x:f t="shared" si="194"/>
        <x:v>-9.6556123773570004</x:v>
      </x:c>
      <x:c r="AM147" s="272">
        <x:f t="shared" si="195"/>
        <x:v>-387.75252571376734</x:v>
      </x:c>
      <x:c r="AN147" s="272">
        <x:f t="shared" si="196"/>
        <x:v>-548.97636683958206</x:v>
      </x:c>
      <x:c r="AO147" s="272">
        <x:f t="shared" si="197"/>
        <x:v>-170.25980943707577</x:v>
      </x:c>
      <x:c r="AP147" s="272">
        <x:f t="shared" si="198"/>
        <x:v>-250.43934401032826</x:v>
      </x:c>
      <x:c r="AQ147" s="272">
        <x:f t="shared" si="199"/>
        <x:v>-388.61729769307703</x:v>
      </x:c>
      <x:c r="AR147" s="272"/>
      <x:c r="AS147" s="286">
        <x:f t="shared" si="32"/>
        <x:v>-580.7115593745259</x:v>
      </x:c>
      <x:c r="AT147" s="286">
        <x:f t="shared" si="33"/>
        <x:v>-1358.2928179800631</x:v>
      </x:c>
      <x:c r="AY147" s="279">
        <x:f t="shared" si="200"/>
        <x:v>-547.96943976613375</x:v>
      </x:c>
      <x:c r="AZ147" s="279">
        <x:f t="shared" si="201"/>
        <x:v>547.96943976613375</x:v>
      </x:c>
      <x:c r="BA147" s="279">
        <x:f t="shared" si="202"/>
        <x:v>72.141545346777761</x:v>
      </x:c>
      <x:c r="BB147" s="279">
        <x:f t="shared" si="203"/>
        <x:v>72.141545346777761</x:v>
      </x:c>
      <x:c r="BC147" s="279"/>
      <x:c r="BD147" s="289">
        <x:f t="shared" si="151"/>
        <x:v>0</x:v>
      </x:c>
      <x:c r="BE147" s="289">
        <x:f t="shared" si="152"/>
        <x:v>144.28309069355552</x:v>
      </x:c>
    </x:row>
    <x:row r="148" ht="15.75" customHeight="1">
      <x:c r="A148" s="21">
        <x:v>232</x:v>
      </x:c>
      <x:c r="B148" s="21">
        <x:f t="shared" si="19"/>
        <x:v>412</x:v>
      </x:c>
      <x:c r="C148" s="21">
        <x:f t="shared" si="0"/>
        <x:v>412</x:v>
      </x:c>
      <x:c r="D148" s="21">
        <x:f t="shared" si="20"/>
        <x:v>232</x:v>
      </x:c>
      <x:c r="E148" s="22" t="n">
        <x:f t="shared" ref="E148:H148" si="223">A148*PI()/180</x:f>
        <x:v>4.049163864626845</x:v>
      </x:c>
      <x:c r="F148" s="22">
        <x:f t="shared" si="223"/>
        <x:v>7.1907565182166371</x:v>
      </x:c>
      <x:c r="G148" s="22">
        <x:f t="shared" si="223"/>
        <x:v>7.1907565182166371</x:v>
      </x:c>
      <x:c r="H148" s="22">
        <x:f t="shared" si="223"/>
        <x:v>4.0491638646268449</x:v>
      </x:c>
      <x:c r="I148" s="23"/>
      <x:c r="J148" s="23"/>
      <x:c r="K148" s="23"/>
      <x:c r="L148" s="249">
        <x:f t="shared" si="184"/>
        <x:v>-1077.6359033963438</x:v>
      </x:c>
      <x:c r="M148" s="249">
        <x:f t="shared" si="185"/>
        <x:v>1077.6359033963429</x:v>
      </x:c>
      <x:c r="N148" s="249">
        <x:f t="shared" si="186"/>
        <x:v>1077.6359033963429</x:v>
      </x:c>
      <x:c r="O148" s="249">
        <x:f t="shared" si="187"/>
        <x:v>-1077.6359033963438</x:v>
      </x:c>
      <x:c r="P148" s="249">
        <x:f t="shared" si="188"/>
        <x:v>-2486.7066170468493</x:v>
      </x:c>
      <x:c r="Q148" s="249">
        <x:f t="shared" si="189"/>
        <x:v>2124.0599226447966</x:v>
      </x:c>
      <x:c r="R148" s="249">
        <x:f t="shared" si="190"/>
        <x:v>2124.0599226447966</x:v>
      </x:c>
      <x:c r="S148" s="249">
        <x:f t="shared" si="191"/>
        <x:v>-2486.7066170468493</x:v>
      </x:c>
      <x:c r="T148" s="23"/>
      <x:c r="U148" s="23"/>
      <x:c r="V148" s="260">
        <x:f t="shared" si="143"/>
        <x:v>-2709.8107532015338</x:v>
      </x:c>
      <x:c r="W148" s="260">
        <x:f t="shared" si="144"/>
        <x:v>-1549.9820820074676</x:v>
      </x:c>
      <x:c r="X148" s="260">
        <x:f t="shared" si="145"/>
        <x:v>2374.7688947106012</x:v>
      </x:c>
      <x:c r="Y148" s="260">
        <x:f t="shared" si="146"/>
        <x:v>1885.0239404983995</x:v>
      </x:c>
      <x:c r="Z148" s="260">
        <x:f t="shared" si="147"/>
        <x:v>43.984331150722937</x:v>
      </x:c>
      <x:c r="AA148" s="260">
        <x:f t="shared" si="148"/>
        <x:v>1808.4482963940295</x:v>
      </x:c>
      <x:c r="AB148" s="260">
        <x:f t="shared" si="149"/>
        <x:v>-182.76321290035344</x:v>
      </x:c>
      <x:c r="AC148" s="260">
        <x:f t="shared" si="150"/>
        <x:v>-1947.2271781436616</x:v>
      </x:c>
      <x:c r="AD148" s="260"/>
      <x:c r="AE148" s="282">
        <x:f t="shared" si="39"/>
        <x:v>0</x:v>
      </x:c>
      <x:c r="AF148" s="282">
        <x:f t="shared" si="10"/>
        <x:v>-277.55776349926259</x:v>
      </x:c>
      <x:c r="AJ148" s="272">
        <x:f t="shared" si="192"/>
        <x:v>-8.7968662301445875</x:v>
      </x:c>
      <x:c r="AK148" s="272">
        <x:f t="shared" si="193"/>
        <x:v>-180.84482963940297</x:v>
      </x:c>
      <x:c r="AL148" s="272">
        <x:f t="shared" si="194"/>
        <x:v>-18.276321290035344</x:v>
      </x:c>
      <x:c r="AM148" s="272">
        <x:f t="shared" si="195"/>
        <x:v>-389.44543562873235</x:v>
      </x:c>
      <x:c r="AN148" s="272">
        <x:f t="shared" si="196"/>
        <x:v>-541.96215064030673</x:v>
      </x:c>
      <x:c r="AO148" s="272">
        <x:f t="shared" si="197"/>
        <x:v>-154.99820820074677</x:v>
      </x:c>
      <x:c r="AP148" s="272">
        <x:f t="shared" si="198"/>
        <x:v>-237.47688947106013</x:v>
      </x:c>
      <x:c r="AQ148" s="272">
        <x:f t="shared" si="199"/>
        <x:v>-377.0047880996799</x:v>
      </x:c>
      <x:c r="AR148" s="272"/>
      <x:c r="AS148" s="286">
        <x:f t="shared" si="32"/>
        <x:v>-597.36345278831527</x:v>
      </x:c>
      <x:c r="AT148" s="286">
        <x:f t="shared" si="33"/>
        <x:v>-1311.4420364117934</x:v>
      </x:c>
      <x:c r="AY148" s="279">
        <x:f t="shared" si="200"/>
        <x:v>-541.60227393786818</x:v>
      </x:c>
      <x:c r="AZ148" s="279">
        <x:f t="shared" si="201"/>
        <x:v>541.60227393786818</x:v>
      </x:c>
      <x:c r="BA148" s="279">
        <x:f t="shared" si="202"/>
        <x:v>110.19022800576333</x:v>
      </x:c>
      <x:c r="BB148" s="279">
        <x:f t="shared" si="203"/>
        <x:v>110.19022800576333</x:v>
      </x:c>
      <x:c r="BC148" s="279"/>
      <x:c r="BD148" s="289">
        <x:f t="shared" si="151"/>
        <x:v>0</x:v>
      </x:c>
      <x:c r="BE148" s="289">
        <x:f t="shared" si="152"/>
        <x:v>220.38045601152666</x:v>
      </x:c>
    </x:row>
    <x:row r="149" ht="15.75" customHeight="1">
      <x:c r="A149" s="21">
        <x:v>234</x:v>
      </x:c>
      <x:c r="B149" s="21">
        <x:f t="shared" si="19"/>
        <x:v>414</x:v>
      </x:c>
      <x:c r="C149" s="21">
        <x:f t="shared" si="0"/>
        <x:v>414</x:v>
      </x:c>
      <x:c r="D149" s="21">
        <x:f t="shared" si="20"/>
        <x:v>234</x:v>
      </x:c>
      <x:c r="E149" s="22" t="n">
        <x:f t="shared" ref="E149:H149" si="224">A149*PI()/180</x:f>
        <x:v>4.084070449666731</x:v>
      </x:c>
      <x:c r="F149" s="22">
        <x:f t="shared" si="224"/>
        <x:v>7.2256631032565233</x:v>
      </x:c>
      <x:c r="G149" s="22">
        <x:f t="shared" si="224"/>
        <x:v>7.2256631032565233</x:v>
      </x:c>
      <x:c r="H149" s="22">
        <x:f t="shared" si="224"/>
        <x:v>4.0840704496667311</x:v>
      </x:c>
      <x:c r="I149" s="23"/>
      <x:c r="J149" s="23"/>
      <x:c r="K149" s="23"/>
      <x:c r="L149" s="249">
        <x:f t="shared" si="184"/>
        <x:v>-1106.362769297117</x:v>
      </x:c>
      <x:c r="M149" s="249">
        <x:f t="shared" si="185"/>
        <x:v>1106.3627692971163</x:v>
      </x:c>
      <x:c r="N149" s="249">
        <x:f t="shared" si="186"/>
        <x:v>1106.3627692971163</x:v>
      </x:c>
      <x:c r="O149" s="249">
        <x:f t="shared" si="187"/>
        <x:v>-1106.362769297117</x:v>
      </x:c>
      <x:c r="P149" s="249">
        <x:f t="shared" si="188"/>
        <x:v>-2432.6109167411742</x:v>
      </x:c>
      <x:c r="Q149" s="249">
        <x:f t="shared" si="189"/>
        <x:v>1969.3870682079439</x:v>
      </x:c>
      <x:c r="R149" s="249">
        <x:f t="shared" si="190"/>
        <x:v>1969.3870682079439</x:v>
      </x:c>
      <x:c r="S149" s="249">
        <x:f t="shared" si="191"/>
        <x:v>-2432.6109167411742</x:v>
      </x:c>
      <x:c r="T149" s="23"/>
      <x:c r="U149" s="23"/>
      <x:c r="V149" s="260">
        <x:f t="shared" si="143"/>
        <x:v>-2670.8261385362557</x:v>
      </x:c>
      <x:c r="W149" s="260">
        <x:f t="shared" si="144"/>
        <x:v>-1396.0897019141623</x:v>
      </x:c>
      <x:c r="X149" s="260">
        <x:f t="shared" si="145"/>
        <x:v>2242.8631059052955</x:v>
      </x:c>
      <x:c r="Y149" s="260">
        <x:f t="shared" si="146"/>
        <x:v>1824.0527345451221</x:v>
      </x:c>
      <x:c r="Z149" s="260">
        <x:f t="shared" si="147"/>
        <x:v>91.226022858812712</x:v>
      </x:c>
      <x:c r="AA149" s="260">
        <x:f t="shared" si="148"/>
        <x:v>1775.7977210033496</x:v>
      </x:c>
      <x:c r="AB149" s="260">
        <x:f t="shared" si="149"/>
        <x:v>-268.49411516887506</x:v>
      </x:c>
      <x:c r="AC149" s="260">
        <x:f t="shared" si="150"/>
        <x:v>-1953.0658133134134</x:v>
      </x:c>
      <x:c r="AD149" s="260"/>
      <x:c r="AE149" s="282">
        <x:f t="shared" si="39"/>
        <x:v>0</x:v>
      </x:c>
      <x:c r="AF149" s="282">
        <x:f t="shared" si="10"/>
        <x:v>-354.53618462012628</x:v>
      </x:c>
      <x:c r="AJ149" s="272">
        <x:f t="shared" si="192"/>
        <x:v>-18.245204571762542</x:v>
      </x:c>
      <x:c r="AK149" s="272">
        <x:f t="shared" si="193"/>
        <x:v>-177.57977210033496</x:v>
      </x:c>
      <x:c r="AL149" s="272">
        <x:f t="shared" si="194"/>
        <x:v>-26.849411516887507</x:v>
      </x:c>
      <x:c r="AM149" s="272">
        <x:f t="shared" si="195"/>
        <x:v>-390.61316266268273</x:v>
      </x:c>
      <x:c r="AN149" s="272">
        <x:f t="shared" si="196"/>
        <x:v>-534.16522770725112</x:v>
      </x:c>
      <x:c r="AO149" s="272">
        <x:f t="shared" si="197"/>
        <x:v>-139.60897019141623</x:v>
      </x:c>
      <x:c r="AP149" s="272">
        <x:f t="shared" si="198"/>
        <x:v>-224.28631059052955</x:v>
      </x:c>
      <x:c r="AQ149" s="272">
        <x:f t="shared" si="199"/>
        <x:v>-364.81054690902442</x:v>
      </x:c>
      <x:c r="AR149" s="272"/>
      <x:c r="AS149" s="286">
        <x:f t="shared" si="32"/>
        <x:v>-613.28755085166767</x:v>
      </x:c>
      <x:c r="AT149" s="286">
        <x:f t="shared" si="33"/>
        <x:v>-1262.8710553982214</x:v>
      </x:c>
      <x:c r="AY149" s="279">
        <x:f t="shared" si="200"/>
        <x:v>-532.59647627264724</x:v>
      </x:c>
      <x:c r="AZ149" s="279">
        <x:f t="shared" si="201"/>
        <x:v>532.59647627264724</x:v>
      </x:c>
      <x:c r="BA149" s="279">
        <x:f t="shared" si="202"/>
        <x:v>147.70207495018875</x:v>
      </x:c>
      <x:c r="BB149" s="279">
        <x:f t="shared" si="203"/>
        <x:v>147.70207495018875</x:v>
      </x:c>
      <x:c r="BC149" s="279"/>
      <x:c r="BD149" s="289">
        <x:f t="shared" si="151"/>
        <x:v>0</x:v>
      </x:c>
      <x:c r="BE149" s="289">
        <x:f t="shared" si="152"/>
        <x:v>295.40414990037749</x:v>
      </x:c>
    </x:row>
    <x:row r="150" ht="15.75" customHeight="1">
      <x:c r="A150" s="21">
        <x:v>236</x:v>
      </x:c>
      <x:c r="B150" s="21">
        <x:f t="shared" si="19"/>
        <x:v>416</x:v>
      </x:c>
      <x:c r="C150" s="21">
        <x:f t="shared" si="0"/>
        <x:v>416</x:v>
      </x:c>
      <x:c r="D150" s="21">
        <x:f t="shared" si="20"/>
        <x:v>236</x:v>
      </x:c>
      <x:c r="E150" s="22" t="n">
        <x:f t="shared" ref="E150:H150" si="225">A150*PI()/180</x:f>
        <x:v>4.118977034706617</x:v>
      </x:c>
      <x:c r="F150" s="22">
        <x:f t="shared" si="225"/>
        <x:v>7.2605696882964113</x:v>
      </x:c>
      <x:c r="G150" s="22">
        <x:f t="shared" si="225"/>
        <x:v>7.2605696882964113</x:v>
      </x:c>
      <x:c r="H150" s="22">
        <x:f t="shared" si="225"/>
        <x:v>4.1189770347066172</x:v>
      </x:c>
      <x:c r="I150" s="23"/>
      <x:c r="J150" s="23"/>
      <x:c r="K150" s="23"/>
      <x:c r="L150" s="249">
        <x:f t="shared" si="184"/>
        <x:v>-1133.7417025856219</x:v>
      </x:c>
      <x:c r="M150" s="249">
        <x:f t="shared" si="185"/>
        <x:v>1133.7417025856223</x:v>
      </x:c>
      <x:c r="N150" s="249">
        <x:f t="shared" si="186"/>
        <x:v>1133.7417025856223</x:v>
      </x:c>
      <x:c r="O150" s="249">
        <x:f t="shared" si="187"/>
        <x:v>-1133.7417025856219</x:v>
      </x:c>
      <x:c r="P150" s="249">
        <x:f t="shared" si="188"/>
        <x:v>-2374.7052481875949</x:v>
      </x:c>
      <x:c r="Q150" s="249">
        <x:f t="shared" si="189"/>
        <x:v>1813.1610255501357</x:v>
      </x:c>
      <x:c r="R150" s="249">
        <x:f t="shared" si="190"/>
        <x:v>1813.1610255501357</x:v>
      </x:c>
      <x:c r="S150" s="249">
        <x:f t="shared" si="191"/>
        <x:v>-2374.7052481875949</x:v>
      </x:c>
      <x:c r="T150" s="23"/>
      <x:c r="U150" s="23"/>
      <x:c r="V150" s="260">
        <x:f t="shared" si="143"/>
        <x:v>-2627.8057407085612</x:v>
      </x:c>
      <x:c r="W150" s="260">
        <x:f t="shared" si="144"/>
        <x:v>-1241.278194492038</x:v>
      </x:c>
      <x:c r="X150" s="260">
        <x:f t="shared" si="145"/>
        <x:v>2109.0065268138515</x:v>
      </x:c>
      <x:c r="Y150" s="260">
        <x:f t="shared" si="146"/>
        <x:v>1760.0774083867477</x:v>
      </x:c>
      <x:c r="Z150" s="260">
        <x:f t="shared" si="147"/>
        <x:v>138.68039894153333</x:v>
      </x:c>
      <x:c r="AA150" s="260">
        <x:f t="shared" si="148"/>
        <x:v>1741.3074388614873</x:v>
      </x:c>
      <x:c r="AB150" s="260">
        <x:f t="shared" si="149"/>
        <x:v>-353.57406948522282</x:v>
      </x:c>
      <x:c r="AC150" s="260">
        <x:f t="shared" si="150"/>
        <x:v>-1956.2011094051759</x:v>
      </x:c>
      <x:c r="AD150" s="260"/>
      <x:c r="AE150" s="282">
        <x:f t="shared" si="39"/>
        <x:v>0</x:v>
      </x:c>
      <x:c r="AF150" s="282">
        <x:f t="shared" si="10"/>
        <x:v>-429.78734108737808</x:v>
      </x:c>
      <x:c r="AJ150" s="272">
        <x:f t="shared" si="192"/>
        <x:v>-27.736079788306668</x:v>
      </x:c>
      <x:c r="AK150" s="272">
        <x:f t="shared" si="193"/>
        <x:v>-174.13074388614874</x:v>
      </x:c>
      <x:c r="AL150" s="272">
        <x:f t="shared" si="194"/>
        <x:v>-35.357406948522282</x:v>
      </x:c>
      <x:c r="AM150" s="272">
        <x:f t="shared" si="195"/>
        <x:v>-391.24022188103521</x:v>
      </x:c>
      <x:c r="AN150" s="272">
        <x:f t="shared" si="196"/>
        <x:v>-525.56114814171224</x:v>
      </x:c>
      <x:c r="AO150" s="272">
        <x:f t="shared" si="197"/>
        <x:v>-124.1278194492038</x:v>
      </x:c>
      <x:c r="AP150" s="272">
        <x:f t="shared" si="198"/>
        <x:v>-210.90065268138517</x:v>
      </x:c>
      <x:c r="AQ150" s="272">
        <x:f t="shared" si="199"/>
        <x:v>-352.01548167734956</x:v>
      </x:c>
      <x:c r="AR150" s="272"/>
      <x:c r="AS150" s="286">
        <x:f t="shared" si="32"/>
        <x:v>-628.46445250401291</x:v>
      </x:c>
      <x:c r="AT150" s="286">
        <x:f t="shared" si="33"/>
        <x:v>-1212.6051019496508</x:v>
      </x:c>
      <x:c r="AY150" s="279">
        <x:f t="shared" si="200"/>
        <x:v>-520.99592211143693</x:v>
      </x:c>
      <x:c r="AZ150" s="279">
        <x:f t="shared" si="201"/>
        <x:v>520.99592211143693</x:v>
      </x:c>
      <x:c r="BA150" s="279">
        <x:f t="shared" si="202"/>
        <x:v>184.49433223241658</x:v>
      </x:c>
      <x:c r="BB150" s="279">
        <x:f t="shared" si="203"/>
        <x:v>184.49433223241658</x:v>
      </x:c>
      <x:c r="BC150" s="279"/>
      <x:c r="BD150" s="289">
        <x:f t="shared" si="151"/>
        <x:v>0</x:v>
      </x:c>
      <x:c r="BE150" s="289">
        <x:f t="shared" si="152"/>
        <x:v>368.98866446483316</x:v>
      </x:c>
    </x:row>
    <x:row r="151" ht="15.75" customHeight="1">
      <x:c r="A151" s="21">
        <x:v>238</x:v>
      </x:c>
      <x:c r="B151" s="21">
        <x:f t="shared" si="19"/>
        <x:v>418</x:v>
      </x:c>
      <x:c r="C151" s="21">
        <x:f t="shared" si="0"/>
        <x:v>418</x:v>
      </x:c>
      <x:c r="D151" s="21">
        <x:f t="shared" si="20"/>
        <x:v>238</x:v>
      </x:c>
      <x:c r="E151" s="22" t="n">
        <x:f t="shared" ref="E151:H151" si="226">A151*PI()/180</x:f>
        <x:v>4.153883619746504</x:v>
      </x:c>
      <x:c r="F151" s="22">
        <x:f t="shared" si="226"/>
        <x:v>7.2954762733362974</x:v>
      </x:c>
      <x:c r="G151" s="22">
        <x:f t="shared" si="226"/>
        <x:v>7.2954762733362974</x:v>
      </x:c>
      <x:c r="H151" s="22">
        <x:f t="shared" si="226"/>
        <x:v>4.1538836197465043</x:v>
      </x:c>
      <x:c r="I151" s="23"/>
      <x:c r="J151" s="23"/>
      <x:c r="K151" s="23"/>
      <x:c r="L151" s="249">
        <x:f t="shared" si="184"/>
        <x:v>-1159.7393462490481</x:v>
      </x:c>
      <x:c r="M151" s="249">
        <x:f t="shared" si="185"/>
        <x:v>1159.7393462490479</x:v>
      </x:c>
      <x:c r="N151" s="249">
        <x:f t="shared" si="186"/>
        <x:v>1159.7393462490479</x:v>
      </x:c>
      <x:c r="O151" s="249">
        <x:f t="shared" si="187"/>
        <x:v>-1159.7393462490481</x:v>
      </x:c>
      <x:c r="P151" s="249">
        <x:f t="shared" si="188"/>
        <x:v>-2312.8805511491823</x:v>
      </x:c>
      <x:c r="Q151" s="249">
        <x:f t="shared" si="189"/>
        <x:v>1655.7517414139643</x:v>
      </x:c>
      <x:c r="R151" s="249">
        <x:f t="shared" si="190"/>
        <x:v>1655.7517414139643</x:v>
      </x:c>
      <x:c r="S151" s="249">
        <x:f t="shared" si="191"/>
        <x:v>-2312.8805511491823</x:v>
      </x:c>
      <x:c r="T151" s="23"/>
      <x:c r="U151" s="23"/>
      <x:c r="V151" s="260">
        <x:f t="shared" si="143"/>
        <x:v>-2580.6360360215849</x:v>
      </x:c>
      <x:c r="W151" s="260">
        <x:f t="shared" si="144"/>
        <x:v>-1085.9021111408513</x:v>
      </x:c>
      <x:c r="X151" s="260">
        <x:f t="shared" si="145"/>
        <x:v>1973.5281784837132</x:v>
      </x:c>
      <x:c r="Y151" s="260">
        <x:f t="shared" si="146"/>
        <x:v>1693.0099686787225</x:v>
      </x:c>
      <x:c r="Z151" s="260">
        <x:f t="shared" si="147"/>
        <x:v>186.35837708328597</x:v>
      </x:c>
      <x:c r="AA151" s="260">
        <x:f t="shared" si="148"/>
        <x:v>1705.0882045962862</x:v>
      </x:c>
      <x:c r="AB151" s="260">
        <x:f t="shared" si="149"/>
        <x:v>-437.83068549874508</x:v>
      </x:c>
      <x:c r="AC151" s="260">
        <x:f t="shared" si="150"/>
        <x:v>-1956.5605130117456</x:v>
      </x:c>
      <x:c r="AD151" s="260"/>
      <x:c r="AE151" s="282">
        <x:f t="shared" si="39"/>
        <x:v>0</x:v>
      </x:c>
      <x:c r="AF151" s="282">
        <x:f t="shared" si="10"/>
        <x:v>-502.94461683091822</x:v>
      </x:c>
      <x:c r="AJ151" s="272">
        <x:f t="shared" si="192"/>
        <x:v>-37.271675416657196</x:v>
      </x:c>
      <x:c r="AK151" s="272">
        <x:f t="shared" si="193"/>
        <x:v>-170.50882045962862</x:v>
      </x:c>
      <x:c r="AL151" s="272">
        <x:f t="shared" si="194"/>
        <x:v>-43.783068549874514</x:v>
      </x:c>
      <x:c r="AM151" s="272">
        <x:f t="shared" si="195"/>
        <x:v>-391.31210260234911</x:v>
      </x:c>
      <x:c r="AN151" s="272">
        <x:f t="shared" si="196"/>
        <x:v>-516.12720720431696</x:v>
      </x:c>
      <x:c r="AO151" s="272">
        <x:f t="shared" si="197"/>
        <x:v>-108.59021111408514</x:v>
      </x:c>
      <x:c r="AP151" s="272">
        <x:f t="shared" si="198"/>
        <x:v>-197.35281784837133</x:v>
      </x:c>
      <x:c r="AQ151" s="272">
        <x:f t="shared" si="199"/>
        <x:v>-338.60199373574454</x:v>
      </x:c>
      <x:c r="AR151" s="272"/>
      <x:c r="AS151" s="286">
        <x:f t="shared" si="32"/>
        <x:v>-642.8756670285095</x:v>
      </x:c>
      <x:c r="AT151" s="286">
        <x:f t="shared" si="33"/>
        <x:v>-1160.672229902518</x:v>
      </x:c>
      <x:c r="AY151" s="279">
        <x:f t="shared" si="200"/>
        <x:v>-506.85712818802619</x:v>
      </x:c>
      <x:c r="AZ151" s="279">
        <x:f t="shared" si="201"/>
        <x:v>506.85712818802619</x:v>
      </x:c>
      <x:c r="BA151" s="279">
        <x:f t="shared" si="202"/>
        <x:v>220.38775167331445</x:v>
      </x:c>
      <x:c r="BB151" s="279">
        <x:f t="shared" si="203"/>
        <x:v>220.38775167331445</x:v>
      </x:c>
      <x:c r="BC151" s="279"/>
      <x:c r="BD151" s="289">
        <x:f t="shared" si="151"/>
        <x:v>0</x:v>
      </x:c>
      <x:c r="BE151" s="289">
        <x:f t="shared" si="152"/>
        <x:v>440.77550334662891</x:v>
      </x:c>
    </x:row>
    <x:row r="152" ht="15.75" customHeight="1">
      <x:c r="A152" s="21">
        <x:v>240</x:v>
      </x:c>
      <x:c r="B152" s="21">
        <x:f t="shared" si="19"/>
        <x:v>420</x:v>
      </x:c>
      <x:c r="C152" s="21">
        <x:f t="shared" si="0"/>
        <x:v>420</x:v>
      </x:c>
      <x:c r="D152" s="21">
        <x:f t="shared" si="20"/>
        <x:v>240</x:v>
      </x:c>
      <x:c r="E152" s="22" t="n">
        <x:f t="shared" ref="E152:H152" si="227">A152*PI()/180</x:f>
        <x:v>4.1887902047863905</x:v>
      </x:c>
      <x:c r="F152" s="22">
        <x:f t="shared" si="227"/>
        <x:v>7.3303828583761845</x:v>
      </x:c>
      <x:c r="G152" s="22">
        <x:f t="shared" si="227"/>
        <x:v>7.3303828583761845</x:v>
      </x:c>
      <x:c r="H152" s="22">
        <x:f t="shared" si="227"/>
        <x:v>4.1887902047863905</x:v>
      </x:c>
      <x:c r="I152" s="23"/>
      <x:c r="J152" s="23"/>
      <x:c r="K152" s="23"/>
      <x:c r="L152" s="249">
        <x:f t="shared" si="184"/>
        <x:v>-1184.3240261632207</x:v>
      </x:c>
      <x:c r="M152" s="249">
        <x:f t="shared" si="185"/>
        <x:v>1184.3240261632211</x:v>
      </x:c>
      <x:c r="N152" s="249">
        <x:f t="shared" si="186"/>
        <x:v>1184.3240261632211</x:v>
      </x:c>
      <x:c r="O152" s="249">
        <x:f t="shared" si="187"/>
        <x:v>-1184.3240261632207</x:v>
      </x:c>
      <x:c r="P152" s="249">
        <x:f t="shared" si="188"/>
        <x:v>-2247.0375377936616</x:v>
      </x:c>
      <x:c r="Q152" s="249">
        <x:f t="shared" si="189"/>
        <x:v>1497.5256064673517</x:v>
      </x:c>
      <x:c r="R152" s="249">
        <x:f t="shared" si="190"/>
        <x:v>1497.5256064673517</x:v>
      </x:c>
      <x:c r="S152" s="249">
        <x:f t="shared" si="191"/>
        <x:v>-2247.0375377936616</x:v>
      </x:c>
      <x:c r="T152" s="23"/>
      <x:c r="U152" s="23"/>
      <x:c r="V152" s="260">
        <x:f t="shared" si="143"/>
        <x:v>-2529.2131733167048</x:v>
      </x:c>
      <x:c r="W152" s="260">
        <x:f t="shared" si="144"/>
        <x:v>-930.31207386215408</x:v>
      </x:c>
      <x:c r="X152" s="260">
        <x:f t="shared" si="145"/>
        <x:v>1836.7544405913218</x:v>
      </x:c>
      <x:c r="Y152" s="260">
        <x:f t="shared" si="146"/>
        <x:v>1622.7708065875372</x:v>
      </x:c>
      <x:c r="Z152" s="260">
        <x:f t="shared" si="147"/>
        <x:v>234.26869001748253</x:v>
      </x:c>
      <x:c r="AA152" s="260">
        <x:f t="shared" si="148"/>
        <x:v>1667.2509667711006</x:v>
      </x:c>
      <x:c r="AB152" s="260">
        <x:f t="shared" si="149"/>
        <x:v>-521.09448849602268</x:v>
      </x:c>
      <x:c r="AC152" s="260">
        <x:f t="shared" si="150"/>
        <x:v>-1954.0767652496397</x:v>
      </x:c>
      <x:c r="AD152" s="260"/>
      <x:c r="AE152" s="282">
        <x:f t="shared" si="39"/>
        <x:v>0</x:v>
      </x:c>
      <x:c r="AF152" s="282">
        <x:f t="shared" si="10"/>
        <x:v>-573.65159695707916</x:v>
      </x:c>
      <x:c r="AJ152" s="272">
        <x:f t="shared" si="192"/>
        <x:v>-46.85373800349651</x:v>
      </x:c>
      <x:c r="AK152" s="272">
        <x:f t="shared" si="193"/>
        <x:v>-166.72509667711006</x:v>
      </x:c>
      <x:c r="AL152" s="272">
        <x:f t="shared" si="194"/>
        <x:v>-52.109448849602273</x:v>
      </x:c>
      <x:c r="AM152" s="272">
        <x:f t="shared" si="195"/>
        <x:v>-390.81535304992798</x:v>
      </x:c>
      <x:c r="AN152" s="272">
        <x:f t="shared" si="196"/>
        <x:v>-505.84263466334096</x:v>
      </x:c>
      <x:c r="AO152" s="272">
        <x:f t="shared" si="197"/>
        <x:v>-93.031207386215414</x:v>
      </x:c>
      <x:c r="AP152" s="272">
        <x:f t="shared" si="198"/>
        <x:v>-183.67544405913219</x:v>
      </x:c>
      <x:c r="AQ152" s="272">
        <x:f t="shared" si="199"/>
        <x:v>-324.55416131750746</x:v>
      </x:c>
      <x:c r="AR152" s="272"/>
      <x:c r="AS152" s="286">
        <x:f t="shared" si="32"/>
        <x:v>-656.5036365801368</x:v>
      </x:c>
      <x:c r="AT152" s="286">
        <x:f t="shared" si="33"/>
        <x:v>-1107.103447426196</x:v>
      </x:c>
      <x:c r="AY152" s="279">
        <x:f t="shared" si="200"/>
        <x:v>-490.24897728518414</x:v>
      </x:c>
      <x:c r="AZ152" s="279">
        <x:f t="shared" si="201"/>
        <x:v>490.24897728518414</x:v>
      </x:c>
      <x:c r="BA152" s="279">
        <x:f t="shared" si="202"/>
        <x:v>255.20746414135832</x:v>
      </x:c>
      <x:c r="BB152" s="279">
        <x:f t="shared" si="203"/>
        <x:v>255.20746414135832</x:v>
      </x:c>
      <x:c r="BC152" s="279"/>
      <x:c r="BD152" s="289">
        <x:f t="shared" si="151"/>
        <x:v>0</x:v>
      </x:c>
      <x:c r="BE152" s="289">
        <x:f t="shared" si="152"/>
        <x:v>510.41492828271663</x:v>
      </x:c>
    </x:row>
    <x:row r="153" ht="15.75" customHeight="1">
      <x:c r="A153" s="21">
        <x:v>242</x:v>
      </x:c>
      <x:c r="B153" s="21">
        <x:f t="shared" si="19"/>
        <x:v>422</x:v>
      </x:c>
      <x:c r="C153" s="21">
        <x:f t="shared" si="0"/>
        <x:v>422</x:v>
      </x:c>
      <x:c r="D153" s="21">
        <x:f t="shared" si="20"/>
        <x:v>242</x:v>
      </x:c>
      <x:c r="E153" s="22" t="n">
        <x:f t="shared" ref="E153:H153" si="228">A153*PI()/180</x:f>
        <x:v>4.223696789826278</x:v>
      </x:c>
      <x:c r="F153" s="22">
        <x:f t="shared" si="228"/>
        <x:v>7.3652894434160707</x:v>
      </x:c>
      <x:c r="G153" s="22">
        <x:f t="shared" si="228"/>
        <x:v>7.3652894434160707</x:v>
      </x:c>
      <x:c r="H153" s="22">
        <x:f t="shared" si="228"/>
        <x:v>4.2236967898262776</x:v>
      </x:c>
      <x:c r="I153" s="23"/>
      <x:c r="J153" s="23"/>
      <x:c r="K153" s="23"/>
      <x:c r="L153" s="249">
        <x:f t="shared" si="184"/>
        <x:v>-1207.4657896826452</x:v>
      </x:c>
      <x:c r="M153" s="249">
        <x:f t="shared" si="185"/>
        <x:v>1207.465789682645</x:v>
      </x:c>
      <x:c r="N153" s="249">
        <x:f t="shared" si="186"/>
        <x:v>1207.465789682645</x:v>
      </x:c>
      <x:c r="O153" s="249">
        <x:f t="shared" si="187"/>
        <x:v>-1207.4657896826452</x:v>
      </x:c>
      <x:c r="P153" s="249">
        <x:f t="shared" si="188"/>
        <x:v>-2177.0876643509919</x:v>
      </x:c>
      <x:c r="Q153" s="249">
        <x:f t="shared" si="189"/>
        <x:v>1338.8441582223429</x:v>
      </x:c>
      <x:c r="R153" s="249">
        <x:f t="shared" si="190"/>
        <x:v>1338.8441582223429</x:v>
      </x:c>
      <x:c r="S153" s="249">
        <x:f t="shared" si="191"/>
        <x:v>-2177.0876643509919</x:v>
      </x:c>
      <x:c r="T153" s="23"/>
      <x:c r="U153" s="23"/>
      <x:c r="V153" s="260">
        <x:f t="shared" si="143"/>
        <x:v>-2473.4438864358617</x:v>
      </x:c>
      <x:c r="W153" s="260">
        <x:f t="shared" si="144"/>
        <x:v>-774.853562144747</x:v>
      </x:c>
      <x:c r="X153" s="260">
        <x:f t="shared" si="145"/>
        <x:v>1699.0078678631037</x:v>
      </x:c>
      <x:c r="Y153" s="260">
        <x:f t="shared" si="146"/>
        <x:v>1549.2895807175053</x:v>
      </x:c>
      <x:c r="Z153" s="260">
        <x:f t="shared" si="147"/>
        <x:v>282.41754934183984</x:v>
      </x:c>
      <x:c r="AA153" s="260">
        <x:f t="shared" si="148"/>
        <x:v>1627.9064071658495</x:v>
      </x:c>
      <x:c r="AB153" s="260">
        <x:f t="shared" si="149"/>
        <x:v>-603.19945142489826</x:v>
      </x:c>
      <x:c r="AC153" s="260">
        <x:f t="shared" si="150"/>
        <x:v>-1948.6883092489084</x:v>
      </x:c>
      <x:c r="AD153" s="260"/>
      <x:c r="AE153" s="282">
        <x:f t="shared" si="39"/>
        <x:v>0</x:v>
      </x:c>
      <x:c r="AF153" s="282">
        <x:f t="shared" si="10"/>
        <x:v>-641.56380416611728</x:v>
      </x:c>
      <x:c r="AJ153" s="272">
        <x:f t="shared" si="192"/>
        <x:v>-56.483509868367975</x:v>
      </x:c>
      <x:c r="AK153" s="272">
        <x:f t="shared" si="193"/>
        <x:v>-162.79064071658496</x:v>
      </x:c>
      <x:c r="AL153" s="272">
        <x:f t="shared" si="194"/>
        <x:v>-60.319945142489829</x:v>
      </x:c>
      <x:c r="AM153" s="272">
        <x:f t="shared" si="195"/>
        <x:v>-389.73766184978172</x:v>
      </x:c>
      <x:c r="AN153" s="272">
        <x:f t="shared" si="196"/>
        <x:v>-494.68877728717234</x:v>
      </x:c>
      <x:c r="AO153" s="272">
        <x:f t="shared" si="197"/>
        <x:v>-77.485356214474706</x:v>
      </x:c>
      <x:c r="AP153" s="272">
        <x:f t="shared" si="198"/>
        <x:v>-169.90078678631039</x:v>
      </x:c>
      <x:c r="AQ153" s="272">
        <x:f t="shared" si="199"/>
        <x:v>-309.85791614350109</x:v>
      </x:c>
      <x:c r="AR153" s="272"/>
      <x:c r="AS153" s="286">
        <x:f t="shared" si="32"/>
        <x:v>-669.33175757722449</x:v>
      </x:c>
      <x:c r="AT153" s="286">
        <x:f t="shared" si="33"/>
        <x:v>-1051.9328364314586</x:v>
      </x:c>
      <x:c r="AY153" s="279">
        <x:f t="shared" si="200"/>
        <x:v>-471.25238264466367</x:v>
      </x:c>
      <x:c r="AZ153" s="279">
        <x:f t="shared" si="201"/>
        <x:v>471.25238264466367</x:v>
      </x:c>
      <x:c r="BA153" s="279">
        <x:f t="shared" si="202"/>
        <x:v>288.78383149747015</x:v>
      </x:c>
      <x:c r="BB153" s="279">
        <x:f t="shared" si="203"/>
        <x:v>288.78383149747015</x:v>
      </x:c>
      <x:c r="BC153" s="279"/>
      <x:c r="BD153" s="289">
        <x:f t="shared" si="151"/>
        <x:v>0</x:v>
      </x:c>
      <x:c r="BE153" s="289">
        <x:f t="shared" si="152"/>
        <x:v>577.56766299494029</x:v>
      </x:c>
    </x:row>
    <x:row r="154" ht="15.75" customHeight="1">
      <x:c r="A154" s="21">
        <x:v>244</x:v>
      </x:c>
      <x:c r="B154" s="21">
        <x:f t="shared" si="19"/>
        <x:v>424</x:v>
      </x:c>
      <x:c r="C154" s="21">
        <x:f t="shared" si="0"/>
        <x:v>424</x:v>
      </x:c>
      <x:c r="D154" s="21">
        <x:f t="shared" si="20"/>
        <x:v>244</x:v>
      </x:c>
      <x:c r="E154" s="22" t="n">
        <x:f t="shared" ref="E154:H154" si="229">A154*PI()/180</x:f>
        <x:v>4.258603374866164</x:v>
      </x:c>
      <x:c r="F154" s="22">
        <x:f t="shared" si="229"/>
        <x:v>7.4001960284559569</x:v>
      </x:c>
      <x:c r="G154" s="22">
        <x:f t="shared" si="229"/>
        <x:v>7.4001960284559569</x:v>
      </x:c>
      <x:c r="H154" s="22">
        <x:f t="shared" si="229"/>
        <x:v>4.2586033748661638</x:v>
      </x:c>
      <x:c r="I154" s="23"/>
      <x:c r="J154" s="23"/>
      <x:c r="K154" s="23"/>
      <x:c r="L154" s="249">
        <x:f t="shared" si="184"/>
        <x:v>-1229.1364421331871</x:v>
      </x:c>
      <x:c r="M154" s="249">
        <x:f t="shared" si="185"/>
        <x:v>1229.1364421331871</x:v>
      </x:c>
      <x:c r="N154" s="249">
        <x:f t="shared" si="186"/>
        <x:v>1229.1364421331871</x:v>
      </x:c>
      <x:c r="O154" s="249">
        <x:f t="shared" si="187"/>
        <x:v>-1229.1364421331871</x:v>
      </x:c>
      <x:c r="P154" s="249">
        <x:f t="shared" si="188"/>
        <x:v>-2102.9540611883526</x:v>
      </x:c>
      <x:c r="Q154" s="249">
        <x:f t="shared" si="189"/>
        <x:v>1180.0628183592787</x:v>
      </x:c>
      <x:c r="R154" s="249">
        <x:f t="shared" si="190"/>
        <x:v>1180.0628183592787</x:v>
      </x:c>
      <x:c r="S154" s="249">
        <x:f t="shared" si="191"/>
        <x:v>-2102.9540611883526</x:v>
      </x:c>
      <x:c r="T154" s="23"/>
      <x:c r="U154" s="23"/>
      <x:c r="V154" s="260">
        <x:f t="shared" si="143"/>
        <x:v>-2413.2463674639498</x:v>
      </x:c>
      <x:c r="W154" s="260">
        <x:f t="shared" si="144"/>
        <x:v>-619.86573243917928</x:v>
      </x:c>
      <x:c r="X154" s="260">
        <x:f t="shared" si="145"/>
        <x:v>1560.6060374802646</x:v>
      </x:c>
      <x:c r="Y154" s="260">
        <x:f t="shared" si="146"/>
        <x:v>1472.5060624228645</x:v>
      </x:c>
      <x:c r="Z154" s="260">
        <x:f t="shared" si="147"/>
        <x:v>330.80832330893111</x:v>
      </x:c>
      <x:c r="AA154" s="260">
        <x:f t="shared" si="148"/>
        <x:v>1587.1644912867455</x:v>
      </x:c>
      <x:c r="AB154" s="260">
        <x:f t="shared" si="149"/>
        <x:v>-683.98351181444468</x:v>
      </x:c>
      <x:c r="AC154" s="260">
        <x:f t="shared" si="150"/>
        <x:v>-1940.3396797922592</x:v>
      </x:c>
      <x:c r="AD154" s="260"/>
      <x:c r="AE154" s="282">
        <x:f t="shared" si="39"/>
        <x:v>0</x:v>
      </x:c>
      <x:c r="AF154" s="282">
        <x:f t="shared" si="10"/>
        <x:v>-706.35037701102738</x:v>
      </x:c>
      <x:c r="AJ154" s="272">
        <x:f t="shared" si="192"/>
        <x:v>-66.161664661786219</x:v>
      </x:c>
      <x:c r="AK154" s="272">
        <x:f t="shared" si="193"/>
        <x:v>-158.71644912867455</x:v>
      </x:c>
      <x:c r="AL154" s="272">
        <x:f t="shared" si="194"/>
        <x:v>-68.398351181444468</x:v>
      </x:c>
      <x:c r="AM154" s="272">
        <x:f t="shared" si="195"/>
        <x:v>-388.06793595845187</x:v>
      </x:c>
      <x:c r="AN154" s="272">
        <x:f t="shared" si="196"/>
        <x:v>-482.64927349278997</x:v>
      </x:c>
      <x:c r="AO154" s="272">
        <x:f t="shared" si="197"/>
        <x:v>-61.986573243917931</x:v>
      </x:c>
      <x:c r="AP154" s="272">
        <x:f t="shared" si="198"/>
        <x:v>-156.06060374802647</x:v>
      </x:c>
      <x:c r="AQ154" s="272">
        <x:f t="shared" si="199"/>
        <x:v>-294.50121248457293</x:v>
      </x:c>
      <x:c r="AR154" s="272"/>
      <x:c r="AS154" s="286">
        <x:f t="shared" si="32"/>
        <x:v>-681.3444009303571</x:v>
      </x:c>
      <x:c r="AT154" s="286">
        <x:f t="shared" si="33"/>
        <x:v>-995.1976629693072</x:v>
      </x:c>
      <x:c r="AY154" s="279">
        <x:f t="shared" si="200"/>
        <x:v>-449.95989376602165</x:v>
      </x:c>
      <x:c r="AZ154" s="279">
        <x:f t="shared" si="201"/>
        <x:v>449.95989376602165</x:v>
      </x:c>
      <x:c r="BA154" s="279">
        <x:f t="shared" si="202"/>
        <x:v>320.95327305497631</x:v>
      </x:c>
      <x:c r="BB154" s="279">
        <x:f t="shared" si="203"/>
        <x:v>320.95327305497631</x:v>
      </x:c>
      <x:c r="BC154" s="279"/>
      <x:c r="BD154" s="289">
        <x:f t="shared" si="151"/>
        <x:v>0</x:v>
      </x:c>
      <x:c r="BE154" s="289">
        <x:f t="shared" si="152"/>
        <x:v>641.90654610995261</x:v>
      </x:c>
    </x:row>
    <x:row r="155" ht="15.75" customHeight="1">
      <x:c r="A155" s="21">
        <x:v>246</x:v>
      </x:c>
      <x:c r="B155" s="21">
        <x:f t="shared" si="19"/>
        <x:v>426</x:v>
      </x:c>
      <x:c r="C155" s="21">
        <x:f t="shared" si="0"/>
        <x:v>426</x:v>
      </x:c>
      <x:c r="D155" s="21">
        <x:f t="shared" si="20"/>
        <x:v>246</x:v>
      </x:c>
      <x:c r="E155" s="22" t="n">
        <x:f t="shared" ref="E155:H155" si="230">A155*PI()/180</x:f>
        <x:v>4.293509959906051</x:v>
      </x:c>
      <x:c r="F155" s="22">
        <x:f t="shared" si="230"/>
        <x:v>7.435102613495844</x:v>
      </x:c>
      <x:c r="G155" s="22">
        <x:f t="shared" si="230"/>
        <x:v>7.435102613495844</x:v>
      </x:c>
      <x:c r="H155" s="22">
        <x:f t="shared" si="230"/>
        <x:v>4.2935099599060509</x:v>
      </x:c>
      <x:c r="I155" s="23"/>
      <x:c r="J155" s="23"/>
      <x:c r="K155" s="23"/>
      <x:c r="L155" s="249">
        <x:f t="shared" si="184"/>
        <x:v>-1249.3095811629451</x:v>
      </x:c>
      <x:c r="M155" s="249">
        <x:f t="shared" si="185"/>
        <x:v>1249.3095811629448</x:v>
      </x:c>
      <x:c r="N155" s="249">
        <x:f t="shared" si="186"/>
        <x:v>1249.3095811629448</x:v>
      </x:c>
      <x:c r="O155" s="249">
        <x:f t="shared" si="187"/>
        <x:v>-1249.3095811629451</x:v>
      </x:c>
      <x:c r="P155" s="249">
        <x:f t="shared" si="188"/>
        <x:v>-2024.5724161636585</x:v>
      </x:c>
      <x:c r="Q155" s="249">
        <x:f t="shared" si="189"/>
        <x:v>1021.5296700005174</x:v>
      </x:c>
      <x:c r="R155" s="249">
        <x:f t="shared" si="190"/>
        <x:v>1021.5296700005174</x:v>
      </x:c>
      <x:c r="S155" s="249">
        <x:f t="shared" si="191"/>
        <x:v>-2024.5724161636585</x:v>
      </x:c>
      <x:c r="T155" s="23"/>
      <x:c r="U155" s="23"/>
      <x:c r="V155" s="260">
        <x:f t="shared" si="143"/>
        <x:v>-2348.551095986556</x:v>
      </x:c>
      <x:c r="W155" s="260">
        <x:f t="shared" si="144"/>
        <x:v>-465.68027536045855</x:v>
      </x:c>
      <x:c r="X155" s="260">
        <x:f t="shared" si="145"/>
        <x:v>1421.8604325725155</x:v>
      </x:c>
      <x:c r="Y155" s="260">
        <x:f t="shared" si="146"/>
        <x:v>1392.3709387744987</x:v>
      </x:c>
      <x:c r="Z155" s="260">
        <x:f t="shared" si="147"/>
        <x:v>379.44123051750114</x:v>
      </x:c>
      <x:c r="AA155" s="260">
        <x:f t="shared" si="148"/>
        <x:v>1545.1340321852683</x:v>
      </x:c>
      <x:c r="AB155" s="260">
        <x:f t="shared" si="149"/>
        <x:v>-763.28907142811727</x:v>
      </x:c>
      <x:c r="AC155" s="260">
        <x:f t="shared" si="150"/>
        <x:v>-1928.981873095885</x:v>
      </x:c>
      <x:c r="AD155" s="260"/>
      <x:c r="AE155" s="282">
        <x:f t="shared" si="39"/>
        <x:v>0</x:v>
      </x:c>
      <x:c r="AF155" s="282">
        <x:f t="shared" si="10"/>
        <x:v>-767.69568182123271</x:v>
      </x:c>
      <x:c r="AJ155" s="272">
        <x:f t="shared" si="192"/>
        <x:v>-75.888246103500236</x:v>
      </x:c>
      <x:c r="AK155" s="272">
        <x:f t="shared" si="193"/>
        <x:v>-154.51340321852683</x:v>
      </x:c>
      <x:c r="AL155" s="272">
        <x:f t="shared" si="194"/>
        <x:v>-76.32890714281173</x:v>
      </x:c>
      <x:c r="AM155" s="272">
        <x:f t="shared" si="195"/>
        <x:v>-385.79637461917702</x:v>
      </x:c>
      <x:c r="AN155" s="272">
        <x:f t="shared" si="196"/>
        <x:v>-469.71021919731123</x:v>
      </x:c>
      <x:c r="AO155" s="272">
        <x:f t="shared" si="197"/>
        <x:v>-46.568027536045861</x:v>
      </x:c>
      <x:c r="AP155" s="272">
        <x:f t="shared" si="198"/>
        <x:v>-142.18604325725155</x:v>
      </x:c>
      <x:c r="AQ155" s="272">
        <x:f t="shared" si="199"/>
        <x:v>-278.47418775489973</x:v>
      </x:c>
      <x:c r="AR155" s="272"/>
      <x:c r="AS155" s="286">
        <x:f t="shared" si="32"/>
        <x:v>-692.52693108401581</x:v>
      </x:c>
      <x:c r="AT155" s="286">
        <x:f t="shared" si="33"/>
        <x:v>-936.93847774550829</x:v>
      </x:c>
      <x:c r="AY155" s="279">
        <x:f t="shared" si="200"/>
        <x:v>-426.47524551476261</x:v>
      </x:c>
      <x:c r="AZ155" s="279">
        <x:f t="shared" si="201"/>
        <x:v>426.47524551476261</x:v>
      </x:c>
      <x:c r="BA155" s="279">
        <x:f t="shared" si="202"/>
        <x:v>351.55906252826804</x:v>
      </x:c>
      <x:c r="BB155" s="279">
        <x:f t="shared" si="203"/>
        <x:v>351.55906252826804</x:v>
      </x:c>
      <x:c r="BC155" s="279"/>
      <x:c r="BD155" s="289">
        <x:f t="shared" si="151"/>
        <x:v>0</x:v>
      </x:c>
      <x:c r="BE155" s="289">
        <x:f t="shared" si="152"/>
        <x:v>703.11812505653609</x:v>
      </x:c>
    </x:row>
    <x:row r="156" ht="15.75" customHeight="1">
      <x:c r="A156" s="21">
        <x:v>248</x:v>
      </x:c>
      <x:c r="B156" s="21">
        <x:f t="shared" si="19"/>
        <x:v>428</x:v>
      </x:c>
      <x:c r="C156" s="21">
        <x:f t="shared" si="0"/>
        <x:v>428</x:v>
      </x:c>
      <x:c r="D156" s="21">
        <x:f t="shared" si="20"/>
        <x:v>248</x:v>
      </x:c>
      <x:c r="E156" s="22" t="n">
        <x:f t="shared" ref="E156:H156" si="231">A156*PI()/180</x:f>
        <x:v>4.328416544945937</x:v>
      </x:c>
      <x:c r="F156" s="22">
        <x:f t="shared" si="231"/>
        <x:v>7.4700091985357302</x:v>
      </x:c>
      <x:c r="G156" s="22">
        <x:f t="shared" si="231"/>
        <x:v>7.4700091985357302</x:v>
      </x:c>
      <x:c r="H156" s="22">
        <x:f t="shared" si="231"/>
        <x:v>4.3284165449459371</x:v>
      </x:c>
      <x:c r="I156" s="23"/>
      <x:c r="J156" s="23"/>
      <x:c r="K156" s="23"/>
      <x:c r="L156" s="249">
        <x:f t="shared" si="184"/>
        <x:v>-1267.9606289094438</x:v>
      </x:c>
      <x:c r="M156" s="249">
        <x:f t="shared" si="185"/>
        <x:v>1267.9606289094436</x:v>
      </x:c>
      <x:c r="N156" s="249">
        <x:f t="shared" si="186"/>
        <x:v>1267.9606289094436</x:v>
      </x:c>
      <x:c r="O156" s="249">
        <x:f t="shared" si="187"/>
        <x:v>-1267.9606289094438</x:v>
      </x:c>
      <x:c r="P156" s="249">
        <x:f t="shared" si="188"/>
        <x:v>-1941.891806334098</x:v>
      </x:c>
      <x:c r="Q156" s="249">
        <x:f t="shared" si="189"/>
        <x:v>863.58428027069397</x:v>
      </x:c>
      <x:c r="R156" s="249">
        <x:f t="shared" si="190"/>
        <x:v>863.58428027069397</x:v>
      </x:c>
      <x:c r="S156" s="249">
        <x:f t="shared" si="191"/>
        <x:v>-1941.891806334098</x:v>
      </x:c>
      <x:c r="T156" s="23"/>
      <x:c r="U156" s="23"/>
      <x:c r="V156" s="260">
        <x:f t="shared" si="143"/>
        <x:v>-2279.3016197983084</x:v>
      </x:c>
      <x:c r="W156" s="260">
        <x:f t="shared" si="144"/>
        <x:v>-312.620315565721</x:v>
      </x:c>
      <x:c r="X156" s="260">
        <x:f t="shared" si="145"/>
        <x:v>1283.0753667154486</x:v>
      </x:c>
      <x:c r="Y156" s="260">
        <x:f t="shared" si="146"/>
        <x:v>1308.8465686485806</x:v>
      </x:c>
      <x:c r="Z156" s="260">
        <x:f t="shared" si="147"/>
        <x:v>428.31305134999729</x:v>
      </x:c>
      <x:c r="AA156" s="260">
        <x:f t="shared" si="148"/>
        <x:v>1501.9222695900989</x:v>
      </x:c>
      <x:c r="AB156" s="260">
        <x:f t="shared" si="149"/>
        <x:v>-840.96347656904902</x:v>
      </x:c>
      <x:c r="AC156" s="260">
        <x:f t="shared" si="150"/>
        <x:v>-1914.572694809151</x:v>
      </x:c>
      <x:c r="AD156" s="260"/>
      <x:c r="AE156" s="282">
        <x:f t="shared" si="39"/>
        <x:v>0</x:v>
      </x:c>
      <x:c r="AF156" s="282">
        <x:f t="shared" si="10"/>
        <x:v>-825.30085043810368</x:v>
      </x:c>
      <x:c r="AJ156" s="272">
        <x:f t="shared" si="192"/>
        <x:v>-85.662610269999462</x:v>
      </x:c>
      <x:c r="AK156" s="272">
        <x:f t="shared" si="193"/>
        <x:v>-150.1922269590099</x:v>
      </x:c>
      <x:c r="AL156" s="272">
        <x:f t="shared" si="194"/>
        <x:v>-84.096347656904911</x:v>
      </x:c>
      <x:c r="AM156" s="272">
        <x:f t="shared" si="195"/>
        <x:v>-382.9145389618302</x:v>
      </x:c>
      <x:c r="AN156" s="272">
        <x:f t="shared" si="196"/>
        <x:v>-455.86032395966168</x:v>
      </x:c>
      <x:c r="AO156" s="272">
        <x:f t="shared" si="197"/>
        <x:v>-31.262031556572101</x:v>
      </x:c>
      <x:c r="AP156" s="272">
        <x:f t="shared" si="198"/>
        <x:v>-128.30753667154485</x:v>
      </x:c>
      <x:c r="AQ156" s="272">
        <x:f t="shared" si="199"/>
        <x:v>-261.76931372971615</x:v>
      </x:c>
      <x:c r="AR156" s="272"/>
      <x:c r="AS156" s="286">
        <x:f t="shared" si="32"/>
        <x:v>-702.86572384774445</x:v>
      </x:c>
      <x:c r="AT156" s="286">
        <x:f t="shared" si="33"/>
        <x:v>-877.19920591749474</x:v>
      </x:c>
      <x:c r="AY156" s="279">
        <x:f t="shared" si="200"/>
        <x:v>-400.91285273649669</x:v>
      </x:c>
      <x:c r="AZ156" s="279">
        <x:f t="shared" si="201"/>
        <x:v>400.91285273649669</x:v>
      </x:c>
      <x:c r="BA156" s="279">
        <x:f t="shared" si="202"/>
        <x:v>380.45209158751618</x:v>
      </x:c>
      <x:c r="BB156" s="279">
        <x:f t="shared" si="203"/>
        <x:v>380.45209158751618</x:v>
      </x:c>
      <x:c r="BC156" s="279"/>
      <x:c r="BD156" s="289">
        <x:f t="shared" si="151"/>
        <x:v>0</x:v>
      </x:c>
      <x:c r="BE156" s="289">
        <x:f t="shared" si="152"/>
        <x:v>760.90418317503236</x:v>
      </x:c>
    </x:row>
    <x:row r="157" ht="15.75" customHeight="1">
      <x:c r="A157" s="21">
        <x:v>250</x:v>
      </x:c>
      <x:c r="B157" s="21">
        <x:f t="shared" si="19"/>
        <x:v>430</x:v>
      </x:c>
      <x:c r="C157" s="21">
        <x:f t="shared" si="0"/>
        <x:v>430</x:v>
      </x:c>
      <x:c r="D157" s="21">
        <x:f t="shared" si="20"/>
        <x:v>250</x:v>
      </x:c>
      <x:c r="E157" s="22" t="n">
        <x:f t="shared" ref="E157:H157" si="232">A157*PI()/180</x:f>
        <x:v>4.363323129985823</x:v>
      </x:c>
      <x:c r="F157" s="22">
        <x:f t="shared" si="232"/>
        <x:v>7.5049157835756164</x:v>
      </x:c>
      <x:c r="G157" s="22">
        <x:f t="shared" si="232"/>
        <x:v>7.5049157835756164</x:v>
      </x:c>
      <x:c r="H157" s="22">
        <x:f t="shared" si="232"/>
        <x:v>4.3633231299858233</x:v>
      </x:c>
      <x:c r="I157" s="23"/>
      <x:c r="J157" s="23"/>
      <x:c r="K157" s="23"/>
      <x:c r="L157" s="249">
        <x:f t="shared" si="184"/>
        <x:v>-1285.0668619439787</x:v>
      </x:c>
      <x:c r="M157" s="249">
        <x:f t="shared" si="185"/>
        <x:v>1285.0668619439784</x:v>
      </x:c>
      <x:c r="N157" s="249">
        <x:f t="shared" si="186"/>
        <x:v>1285.0668619439784</x:v>
      </x:c>
      <x:c r="O157" s="249">
        <x:f t="shared" si="187"/>
        <x:v>-1285.0668619439787</x:v>
      </x:c>
      <x:c r="P157" s="249">
        <x:f t="shared" si="188"/>
        <x:v>-1854.8754733360611</x:v>
      </x:c>
      <x:c r="Q157" s="249">
        <x:f t="shared" si="189"/>
        <x:v>706.55657324828167</x:v>
      </x:c>
      <x:c r="R157" s="249">
        <x:f t="shared" si="190"/>
        <x:v>706.55657324828167</x:v>
      </x:c>
      <x:c r="S157" s="249">
        <x:f t="shared" si="191"/>
        <x:v>-1854.8754733360611</x:v>
      </x:c>
      <x:c r="T157" s="23"/>
      <x:c r="U157" s="23"/>
      <x:c r="V157" s="260">
        <x:f t="shared" si="143"/>
        <x:v>-2205.4552827197285</x:v>
      </x:c>
      <x:c r="W157" s="260">
        <x:f t="shared" si="144"/>
        <x:v>-160.99935903804248</x:v>
      </x:c>
      <x:c r="X157" s="260">
        <x:f t="shared" si="145"/>
        <x:v>1144.5469541327559</x:v>
      </x:c>
      <x:c r="Y157" s="260">
        <x:f t="shared" si="146"/>
        <x:v>1221.9076876250151</x:v>
      </x:c>
      <x:c r="Z157" s="260">
        <x:f t="shared" si="147"/>
        <x:v>477.41685891248471</x:v>
      </x:c>
      <x:c r="AA157" s="260">
        <x:f t="shared" si="148"/>
        <x:v>1457.6344662693175</x:v>
      </x:c>
      <x:c r="AB157" s="260">
        <x:f t="shared" si="149"/>
        <x:v>-916.8594770477805</x:v>
      </x:c>
      <x:c r="AC157" s="260">
        <x:f t="shared" si="150"/>
        <x:v>-1897.0770844046137</x:v>
      </x:c>
      <x:c r="AD157" s="260"/>
      <x:c r="AE157" s="282">
        <x:f t="shared" si="39"/>
        <x:v>0</x:v>
      </x:c>
      <x:c r="AF157" s="282">
        <x:f t="shared" si="10"/>
        <x:v>-878.88523627059203</x:v>
      </x:c>
      <x:c r="AJ157" s="272">
        <x:f t="shared" si="192"/>
        <x:v>-95.483371782496945</x:v>
      </x:c>
      <x:c r="AK157" s="272">
        <x:f t="shared" si="193"/>
        <x:v>-145.76344662693177</x:v>
      </x:c>
      <x:c r="AL157" s="272">
        <x:f t="shared" si="194"/>
        <x:v>-91.685947704778059</x:v>
      </x:c>
      <x:c r="AM157" s="272">
        <x:f t="shared" si="195"/>
        <x:v>-379.41541688092275</x:v>
      </x:c>
      <x:c r="AN157" s="272">
        <x:f t="shared" si="196"/>
        <x:v>-441.09105654394574</x:v>
      </x:c>
      <x:c r="AO157" s="272">
        <x:f t="shared" si="197"/>
        <x:v>-16.099935903804248</x:v>
      </x:c>
      <x:c r="AP157" s="272">
        <x:f t="shared" si="198"/>
        <x:v>-114.4546954132756</x:v>
      </x:c>
      <x:c r="AQ157" s="272">
        <x:f t="shared" si="199"/>
        <x:v>-244.38153752500304</x:v>
      </x:c>
      <x:c r="AR157" s="272"/>
      <x:c r="AS157" s="286">
        <x:f t="shared" si="32"/>
        <x:v>-712.34818299512949</x:v>
      </x:c>
      <x:c r="AT157" s="286">
        <x:f t="shared" si="33"/>
        <x:v>-816.0272253860287</x:v>
      </x:c>
      <x:c r="AY157" s="279">
        <x:f t="shared" si="200"/>
        <x:v>-373.3972528393183</x:v>
      </x:c>
      <x:c r="AZ157" s="279">
        <x:f t="shared" si="201"/>
        <x:v>373.3972528393183</x:v>
      </x:c>
      <x:c r="BA157" s="279">
        <x:f t="shared" si="202"/>
        <x:v>407.49159629945979</x:v>
      </x:c>
      <x:c r="BB157" s="279">
        <x:f t="shared" si="203"/>
        <x:v>407.49159629945979</x:v>
      </x:c>
      <x:c r="BC157" s="279"/>
      <x:c r="BD157" s="289">
        <x:f t="shared" si="151"/>
        <x:v>0</x:v>
      </x:c>
      <x:c r="BE157" s="289">
        <x:f t="shared" si="152"/>
        <x:v>814.98319259891957</x:v>
      </x:c>
    </x:row>
    <x:row r="158" ht="15.75" customHeight="1">
      <x:c r="A158" s="21">
        <x:v>252</x:v>
      </x:c>
      <x:c r="B158" s="21">
        <x:f t="shared" si="19"/>
        <x:v>432</x:v>
      </x:c>
      <x:c r="C158" s="21">
        <x:f t="shared" si="0"/>
        <x:v>432</x:v>
      </x:c>
      <x:c r="D158" s="21">
        <x:f t="shared" si="20"/>
        <x:v>252</x:v>
      </x:c>
      <x:c r="E158" s="22" t="n">
        <x:f t="shared" ref="E158:H158" si="233">A158*PI()/180</x:f>
        <x:v>4.39822971502571</x:v>
      </x:c>
      <x:c r="F158" s="22">
        <x:f t="shared" si="233"/>
        <x:v>7.5398223686155035</x:v>
      </x:c>
      <x:c r="G158" s="22">
        <x:f t="shared" si="233"/>
        <x:v>7.5398223686155035</x:v>
      </x:c>
      <x:c r="H158" s="22">
        <x:f t="shared" si="233"/>
        <x:v>4.3982297150257104</x:v>
      </x:c>
      <x:c r="I158" s="23"/>
      <x:c r="J158" s="23"/>
      <x:c r="K158" s="23"/>
      <x:c r="L158" s="249">
        <x:f t="shared" si="184"/>
        <x:v>-1300.6074389566104</x:v>
      </x:c>
      <x:c r="M158" s="249">
        <x:f t="shared" si="185"/>
        <x:v>1300.6074389566104</x:v>
      </x:c>
      <x:c r="N158" s="249">
        <x:f t="shared" si="186"/>
        <x:v>1300.6074389566104</x:v>
      </x:c>
      <x:c r="O158" s="249">
        <x:f t="shared" si="187"/>
        <x:v>-1300.6074389566104</x:v>
      </x:c>
      <x:c r="P158" s="249">
        <x:f t="shared" si="188"/>
        <x:v>-1763.5015380165123</x:v>
      </x:c>
      <x:c r="Q158" s="249">
        <x:f t="shared" si="189"/>
        <x:v>550.76575815697163</x:v>
      </x:c>
      <x:c r="R158" s="249">
        <x:f t="shared" si="190"/>
        <x:v>550.76575815697163</x:v>
      </x:c>
      <x:c r="S158" s="249">
        <x:f t="shared" si="191"/>
        <x:v>-1763.5015380165123</x:v>
      </x:c>
      <x:c r="T158" s="23"/>
      <x:c r="U158" s="23"/>
      <x:c r="V158" s="260">
        <x:f t="shared" si="143"/>
        <x:v>-2126.9838954251154</x:v>
      </x:c>
      <x:c r="W158" s="260">
        <x:f t="shared" si="144"/>
        <x:v>-11.120292269802633</x:v>
      </x:c>
      <x:c r="X158" s="260">
        <x:f t="shared" si="145"/>
        <x:v>1006.5621300687721</x:v>
      </x:c>
      <x:c r="Y158" s="260">
        <x:f t="shared" si="146"/>
        <x:v>1131.5420576261458</x:v>
      </x:c>
      <x:c r="Z158" s="260">
        <x:f t="shared" si="147"/>
        <x:v>526.74177113466124</x:v>
      </x:c>
      <x:c r="AA158" s="260">
        <x:f t="shared" si="148"/>
        <x:v>1412.373523444606</x:v>
      </x:c>
      <x:c r="AB158" s="260">
        <x:f t="shared" si="149"/>
        <x:v>-990.8356619232643</x:v>
      </x:c>
      <x:c r="AC158" s="260">
        <x:f t="shared" si="150"/>
        <x:v>-1876.4674142332092</x:v>
      </x:c>
      <x:c r="AD158" s="260"/>
      <x:c r="AE158" s="282">
        <x:f t="shared" si="39"/>
        <x:v>0</x:v>
      </x:c>
      <x:c r="AF158" s="282">
        <x:f t="shared" si="10"/>
        <x:v>-928.18778157720612</x:v>
      </x:c>
      <x:c r="AJ158" s="272">
        <x:f t="shared" si="192"/>
        <x:v>-105.34835422693226</x:v>
      </x:c>
      <x:c r="AK158" s="272">
        <x:f t="shared" si="193"/>
        <x:v>-141.23735234446062</x:v>
      </x:c>
      <x:c r="AL158" s="272">
        <x:f t="shared" si="194"/>
        <x:v>-99.08356619232643</x:v>
      </x:c>
      <x:c r="AM158" s="272">
        <x:f t="shared" si="195"/>
        <x:v>-375.29348284664184</x:v>
      </x:c>
      <x:c r="AN158" s="272">
        <x:f t="shared" si="196"/>
        <x:v>-425.39677908502313</x:v>
      </x:c>
      <x:c r="AO158" s="272">
        <x:f t="shared" si="197"/>
        <x:v>-1.1120292269802634</x:v>
      </x:c>
      <x:c r="AP158" s="272">
        <x:f t="shared" si="198"/>
        <x:v>-100.65621300687722</x:v>
      </x:c>
      <x:c r="AQ158" s="272">
        <x:f t="shared" si="199"/>
        <x:v>-226.30841152522919</x:v>
      </x:c>
      <x:c r="AR158" s="272"/>
      <x:c r="AS158" s="286">
        <x:f t="shared" si="32"/>
        <x:v>-720.96275561036111</x:v>
      </x:c>
      <x:c r="AT158" s="286">
        <x:f t="shared" si="33"/>
        <x:v>-753.47343284410977</x:v>
      </x:c>
      <x:c r="AY158" s="279">
        <x:f t="shared" si="200"/>
        <x:v>-344.06249906006661</x:v>
      </x:c>
      <x:c r="AZ158" s="279">
        <x:f t="shared" si="201"/>
        <x:v>344.06249906006661</x:v>
      </x:c>
      <x:c r="BA158" s="279">
        <x:f t="shared" si="202"/>
        <x:v>432.5458429151451</x:v>
      </x:c>
      <x:c r="BB158" s="279">
        <x:f t="shared" si="203"/>
        <x:v>432.5458429151451</x:v>
      </x:c>
      <x:c r="BC158" s="279"/>
      <x:c r="BD158" s="289">
        <x:f t="shared" si="151"/>
        <x:v>0</x:v>
      </x:c>
      <x:c r="BE158" s="289">
        <x:f t="shared" si="152"/>
        <x:v>865.0916858302902</x:v>
      </x:c>
    </x:row>
    <x:row r="159" ht="15.75" customHeight="1">
      <x:c r="A159" s="21">
        <x:v>254</x:v>
      </x:c>
      <x:c r="B159" s="21">
        <x:f t="shared" si="19"/>
        <x:v>434</x:v>
      </x:c>
      <x:c r="C159" s="21">
        <x:f t="shared" si="0"/>
        <x:v>434</x:v>
      </x:c>
      <x:c r="D159" s="21">
        <x:f t="shared" si="20"/>
        <x:v>254</x:v>
      </x:c>
      <x:c r="E159" s="22" t="n">
        <x:f t="shared" ref="E159:H159" si="234">A159*PI()/180</x:f>
        <x:v>4.4331363000655974</x:v>
      </x:c>
      <x:c r="F159" s="22">
        <x:f t="shared" si="234"/>
        <x:v>7.5747289536553897</x:v>
      </x:c>
      <x:c r="G159" s="22">
        <x:f t="shared" si="234"/>
        <x:v>7.5747289536553897</x:v>
      </x:c>
      <x:c r="H159" s="22">
        <x:f t="shared" si="234"/>
        <x:v>4.4331363000655974</x:v>
      </x:c>
      <x:c r="I159" s="23"/>
      <x:c r="J159" s="23"/>
      <x:c r="K159" s="23"/>
      <x:c r="L159" s="249">
        <x:f t="shared" si="184"/>
        <x:v>-1314.5634261480914</x:v>
      </x:c>
      <x:c r="M159" s="249">
        <x:f t="shared" si="185"/>
        <x:v>1314.5634261480909</x:v>
      </x:c>
      <x:c r="N159" s="249">
        <x:f t="shared" si="186"/>
        <x:v>1314.5634261480909</x:v>
      </x:c>
      <x:c r="O159" s="249">
        <x:f t="shared" si="187"/>
        <x:v>-1314.5634261480914</x:v>
      </x:c>
      <x:c r="P159" s="249">
        <x:f t="shared" si="188"/>
        <x:v>-1667.7636501816942</x:v>
      </x:c>
      <x:c r="Q159" s="249">
        <x:f t="shared" si="189"/>
        <x:v>396.51931736609663</x:v>
      </x:c>
      <x:c r="R159" s="249">
        <x:f t="shared" si="190"/>
        <x:v>396.51931736609663</x:v>
      </x:c>
      <x:c r="S159" s="249">
        <x:f t="shared" si="191"/>
        <x:v>-1667.7636501816942</x:v>
      </x:c>
      <x:c r="T159" s="23"/>
      <x:c r="U159" s="23"/>
      <x:c r="V159" s="260">
        <x:f t="shared" si="143"/>
        <x:v>-2043.8743454491448</x:v>
      </x:c>
      <x:c r="W159" s="260">
        <x:f t="shared" si="144"/>
        <x:v>136.72556242007983</x:v>
      </x:c>
      <x:c r="X159" s="260">
        <x:f t="shared" si="145"/>
        <x:v>869.39772553984767</x:v>
      </x:c>
      <x:c r="Y159" s="260">
        <x:f t="shared" si="146"/>
        <x:v>1037.7510574892169</x:v>
      </x:c>
      <x:c r="Z159" s="260">
        <x:f t="shared" si="147"/>
        <x:v>576.27272558087236</x:v>
      </x:c>
      <x:c r="AA159" s="260">
        <x:f t="shared" si="148"/>
        <x:v>1366.2396169748538</x:v>
      </x:c>
      <x:c r="AB159" s="260">
        <x:f t="shared" si="149"/>
        <x:v>-1062.7568702374135</x:v>
      </x:c>
      <x:c r="AC159" s="260">
        <x:f t="shared" si="150"/>
        <x:v>-1852.723761631396</x:v>
      </x:c>
      <x:c r="AD159" s="260"/>
      <x:c r="AE159" s="282">
        <x:f t="shared" si="39"/>
        <x:v>0</x:v>
      </x:c>
      <x:c r="AF159" s="282">
        <x:f t="shared" si="10"/>
        <x:v>-972.96828931308323</x:v>
      </x:c>
      <x:c r="AJ159" s="272">
        <x:f t="shared" si="192"/>
        <x:v>-115.25454511617448</x:v>
      </x:c>
      <x:c r="AK159" s="272">
        <x:f t="shared" si="193"/>
        <x:v>-136.62396169748538</x:v>
      </x:c>
      <x:c r="AL159" s="272">
        <x:f t="shared" si="194"/>
        <x:v>-106.27568702374136</x:v>
      </x:c>
      <x:c r="AM159" s="272">
        <x:f t="shared" si="195"/>
        <x:v>-370.54475232627919</x:v>
      </x:c>
      <x:c r="AN159" s="272">
        <x:f t="shared" si="196"/>
        <x:v>-408.774869089829</x:v>
      </x:c>
      <x:c r="AO159" s="272">
        <x:f t="shared" si="197"/>
        <x:v>13.672556242007984</x:v>
      </x:c>
      <x:c r="AP159" s="272">
        <x:f t="shared" si="198"/>
        <x:v>-86.939772553984767</x:v>
      </x:c>
      <x:c r="AQ159" s="272">
        <x:f t="shared" si="199"/>
        <x:v>-207.55021149784341</x:v>
      </x:c>
      <x:c r="AR159" s="272"/>
      <x:c r="AS159" s="286">
        <x:f t="shared" si="32"/>
        <x:v>-728.69894616368038</x:v>
      </x:c>
      <x:c r="AT159" s="286">
        <x:f t="shared" si="33"/>
        <x:v>-689.59229689964923</x:v>
      </x:c>
      <x:c r="AY159" s="279">
        <x:f t="shared" si="200"/>
        <x:v>-313.05150737043652</x:v>
      </x:c>
      <x:c r="AZ159" s="279">
        <x:f t="shared" si="201"/>
        <x:v>313.05150737043652</x:v>
      </x:c>
      <x:c r="BA159" s="279">
        <x:f t="shared" si="202"/>
        <x:v>455.49276966350322</x:v>
      </x:c>
      <x:c r="BB159" s="279">
        <x:f t="shared" si="203"/>
        <x:v>455.49276966350322</x:v>
      </x:c>
      <x:c r="BC159" s="279"/>
      <x:c r="BD159" s="289">
        <x:f t="shared" si="151"/>
        <x:v>0</x:v>
      </x:c>
      <x:c r="BE159" s="289">
        <x:f t="shared" si="152"/>
        <x:v>910.98553932700645</x:v>
      </x:c>
    </x:row>
    <x:row r="160" ht="15.75" customHeight="1">
      <x:c r="A160" s="21">
        <x:v>256</x:v>
      </x:c>
      <x:c r="B160" s="21">
        <x:f t="shared" si="19"/>
        <x:v>436</x:v>
      </x:c>
      <x:c r="C160" s="21">
        <x:f t="shared" si="0"/>
        <x:v>436</x:v>
      </x:c>
      <x:c r="D160" s="21">
        <x:f t="shared" si="20"/>
        <x:v>256</x:v>
      </x:c>
      <x:c r="E160" s="22" t="n">
        <x:f t="shared" ref="E160:H160" si="235">A160*PI()/180</x:f>
        <x:v>4.468042885105484</x:v>
      </x:c>
      <x:c r="F160" s="22">
        <x:f t="shared" si="235"/>
        <x:v>7.6096355386952759</x:v>
      </x:c>
      <x:c r="G160" s="22">
        <x:f t="shared" si="235"/>
        <x:v>7.6096355386952759</x:v>
      </x:c>
      <x:c r="H160" s="22">
        <x:f t="shared" si="235"/>
        <x:v>4.4680428851054836</x:v>
      </x:c>
      <x:c r="I160" s="23"/>
      <x:c r="J160" s="23"/>
      <x:c r="K160" s="23"/>
      <x:c r="L160" s="249" t="n">
        <x:f t="shared" ref="L160:L191" si="236">Mrot*Omega^2*$C$6*SIN(E160)</x:f>
        <x:v>-1326.917820297783</x:v>
      </x:c>
      <x:c r="M160" s="249" t="n">
        <x:f t="shared" ref="M160:M191" si="237">Mrot*Omega^2*$C$6*SIN(F160)</x:f>
        <x:v>1326.9178202977828</x:v>
      </x:c>
      <x:c r="N160" s="249" t="n">
        <x:f t="shared" ref="N160:N191" si="238">Mrot*Omega^2*$C$6*SIN(G160)</x:f>
        <x:v>1326.9178202977828</x:v>
      </x:c>
      <x:c r="O160" s="249" t="n">
        <x:f t="shared" ref="O160:O191" si="239">Mrot*Omega^2*$C$6*SIN(H160)</x:f>
        <x:v>-1326.917820297783</x:v>
      </x:c>
      <x:c r="P160" s="249" t="n">
        <x:f t="shared" ref="P160:P191" si="240">(Mrot+Malt)*(Omega^2)*$C$6*COS(E160)+Malt*(Omega^2)*$C$6*lambda*COS(2*E160)</x:f>
        <x:v>-1567.6715696358847</x:v>
      </x:c>
      <x:c r="Q160" s="249" t="n">
        <x:f t="shared" ref="Q160:Q191" si="241">(Mrot+Malt)*Omega^2*$C$6*COS(F160)+Malt*Omega^2*$C$6*lambda*COS(2*F160)</x:f>
        <x:v>244.11205846867313</x:v>
      </x:c>
      <x:c r="R160" s="249" t="n">
        <x:f t="shared" ref="R160:R191" si="242">(Mrot+Malt)*Omega^2*$C$6*COS(G160)+Malt*Omega^2*$C$6*lambda*COS(2*G160)</x:f>
        <x:v>244.11205846867313</x:v>
      </x:c>
      <x:c r="S160" s="249" t="n">
        <x:f t="shared" ref="S160:S191" si="243">(Mrot+Malt)*Omega^2*$C$6*COS(H160)+Malt*Omega^2*$C$6*lambda*COS(2*H160)</x:f>
        <x:v>-1567.6715696358847</x:v>
      </x:c>
      <x:c r="T160" s="23"/>
      <x:c r="U160" s="23"/>
      <x:c r="V160" s="260">
        <x:f t="shared" si="143"/>
        <x:v>-1956.1291428243953</x:v>
      </x:c>
      <x:c r="W160" s="260">
        <x:f t="shared" si="144"/>
        <x:v>282.25933147955334</x:v>
      </x:c>
      <x:c r="X160" s="260">
        <x:f t="shared" si="145"/>
        <x:v>733.31960039636465</x:v>
      </x:c>
      <x:c r="Y160" s="260">
        <x:f t="shared" si="146"/>
        <x:v>940.55021094847734</x:v>
      </x:c>
      <x:c r="Z160" s="260">
        <x:f t="shared" si="147"/>
        <x:v>625.99027840818314</x:v>
      </x:c>
      <x:c r="AA160" s="260">
        <x:f t="shared" si="148"/>
        <x:v>1319.3298559141106</x:v>
      </x:c>
      <x:c r="AB160" s="260">
        <x:f t="shared" si="149"/>
        <x:v>-1132.4945750811119</x:v>
      </x:c>
      <x:c r="AC160" s="260">
        <x:f t="shared" si="150"/>
        <x:v>-1825.8341525870396</x:v>
      </x:c>
      <x:c r="AD160" s="260"/>
      <x:c r="AE160" s="282">
        <x:f t="shared" si="39"/>
        <x:v>0</x:v>
      </x:c>
      <x:c r="AF160" s="282">
        <x:f t="shared" si="10"/>
        <x:v>-1013.0085933458579</x:v>
      </x:c>
      <x:c r="AJ160" s="272" t="n">
        <x:f t="shared" ref="AJ160:AJ191" si="244">-Z160*O_O1</x:f>
        <x:v>-125.19805568163663</x:v>
      </x:c>
      <x:c r="AK160" s="272" t="n">
        <x:f t="shared" ref="AK160:AK191" si="245">-AA160*O_O2</x:f>
        <x:v>-131.93298559141107</x:v>
      </x:c>
      <x:c r="AL160" s="272" t="n">
        <x:f t="shared" ref="AL160:AL191" si="246">AB160*O_O3</x:f>
        <x:v>-113.24945750811119</x:v>
      </x:c>
      <x:c r="AM160" s="272" t="n">
        <x:f t="shared" ref="AM160:AM191" si="247">AC160*O_O4</x:f>
        <x:v>-365.16683051740796</x:v>
      </x:c>
      <x:c r="AN160" s="272" t="n">
        <x:f t="shared" ref="AN160:AN191" si="248">V160*O_O1</x:f>
        <x:v>-391.22582856487907</x:v>
      </x:c>
      <x:c r="AO160" s="272" t="n">
        <x:f t="shared" ref="AO160:AO191" si="249">W160*O_O2</x:f>
        <x:v>28.225933147955335</x:v>
      </x:c>
      <x:c r="AP160" s="272" t="n">
        <x:f t="shared" ref="AP160:AP191" si="250">-X160*O_O3</x:f>
        <x:v>-73.33196003963647</x:v>
      </x:c>
      <x:c r="AQ160" s="272" t="n">
        <x:f t="shared" ref="AQ160:AQ191" si="251">-Y160*O_O4</x:f>
        <x:v>-188.1100421896955</x:v>
      </x:c>
      <x:c r="AR160" s="272"/>
      <x:c r="AS160" s="286">
        <x:f t="shared" si="32"/>
        <x:v>-735.54732929856686</x:v>
      </x:c>
      <x:c r="AT160" s="286">
        <x:f t="shared" si="33"/>
        <x:v>-624.44189764625571</x:v>
      </x:c>
      <x:c r="AY160" s="279" t="n">
        <x:f t="shared" ref="AY160:AY191" si="252">m1_*R_den*wm^2*SIN(RADIANS(Vdeg/2+r_*A160+phy_deg))</x:f>
        <x:v>-280.5153602047252</x:v>
      </x:c>
      <x:c r="AZ160" s="279" t="n">
        <x:f t="shared" ref="AZ160:AZ191" si="253">m2_*R_den*wm^2*SIN(RADIANS(-(Vdeg/2+r_*A160+phy_deg)))</x:f>
        <x:v>280.5153602047252</x:v>
      </x:c>
      <x:c r="BA160" s="279" t="n">
        <x:f t="shared" ref="BA160:BA191" si="254">m1_*R_den*wm^2*COS(RADIANS(Vdeg/2+r_*A160+phy_deg))</x:f>
        <x:v>476.220581424034</x:v>
      </x:c>
      <x:c r="BB160" s="279" t="n">
        <x:f t="shared" ref="BB160:BB191" si="255">m2_*R_den*wm^2*COS(RADIANS(-(Vdeg/2+r_*A160+phy_deg)))</x:f>
        <x:v>476.220581424034</x:v>
      </x:c>
      <x:c r="BC160" s="279"/>
      <x:c r="BD160" s="289">
        <x:f t="shared" si="151"/>
        <x:v>0</x:v>
      </x:c>
      <x:c r="BE160" s="289">
        <x:f t="shared" si="152"/>
        <x:v>952.44116284806887</x:v>
      </x:c>
    </x:row>
    <x:row r="161" ht="15.75" customHeight="1">
      <x:c r="A161" s="21">
        <x:v>258</x:v>
      </x:c>
      <x:c r="B161" s="21">
        <x:f t="shared" si="19"/>
        <x:v>438</x:v>
      </x:c>
      <x:c r="C161" s="21">
        <x:f t="shared" si="0"/>
        <x:v>438</x:v>
      </x:c>
      <x:c r="D161" s="21">
        <x:f t="shared" si="20"/>
        <x:v>258</x:v>
      </x:c>
      <x:c r="E161" s="22" t="n">
        <x:f t="shared" ref="E161:H161" si="256">A161*PI()/180</x:f>
        <x:v>4.50294947014537</x:v>
      </x:c>
      <x:c r="F161" s="22">
        <x:f t="shared" si="256"/>
        <x:v>7.6445421237351638</x:v>
      </x:c>
      <x:c r="G161" s="22">
        <x:f t="shared" si="256"/>
        <x:v>7.6445421237351638</x:v>
      </x:c>
      <x:c r="H161" s="22">
        <x:f t="shared" si="256"/>
        <x:v>4.5029494701453698</x:v>
      </x:c>
      <x:c r="I161" s="23"/>
      <x:c r="J161" s="23"/>
      <x:c r="K161" s="23"/>
      <x:c r="L161" s="249">
        <x:f t="shared" si="236"/>
        <x:v>-1337.6555694794631</x:v>
      </x:c>
      <x:c r="M161" s="249">
        <x:f t="shared" si="237"/>
        <x:v>1337.6555694794633</x:v>
      </x:c>
      <x:c r="N161" s="249">
        <x:f t="shared" si="238"/>
        <x:v>1337.6555694794633</x:v>
      </x:c>
      <x:c r="O161" s="249">
        <x:f t="shared" si="239"/>
        <x:v>-1337.6555694794631</x:v>
      </x:c>
      <x:c r="P161" s="249">
        <x:f t="shared" si="240"/>
        <x:v>-1463.251675009255</x:v>
      </x:c>
      <x:c r="Q161" s="249">
        <x:f t="shared" si="241"/>
        <x:v>93.825234385090653</x:v>
      </x:c>
      <x:c r="R161" s="249">
        <x:f t="shared" si="242"/>
        <x:v>93.825234385090653</x:v>
      </x:c>
      <x:c r="S161" s="249">
        <x:f t="shared" si="243"/>
        <x:v>-1463.251675009255</x:v>
      </x:c>
      <x:c r="T161" s="23"/>
      <x:c r="U161" s="23"/>
      <x:c r="V161" s="260" t="n">
        <x:f t="shared" ref="V161:V212" si="257">L161*COS(RADIANS(67.5))+P161*COS(RADIANS(22.5))</x:f>
        <x:v>-1863.7668981045877</x:v>
      </x:c>
      <x:c r="W161" s="260" t="n">
        <x:f t="shared" ref="W161:W212" si="258">M161*COS(RADIANS(67.5))-Q161*COS(RADIANS(22.5))</x:f>
        <x:v>425.2154109692205</x:v>
      </x:c>
      <x:c r="X161" s="260" t="n">
        <x:f t="shared" ref="X161:X212" si="259">N161*COS(RADIANS(67.5))+R161*COS(RADIANS(22.5))</x:f>
        <x:v>598.5818383321395</x:v>
      </x:c>
      <x:c r="Y161" s="260" t="n">
        <x:f t="shared" ref="Y161:Y212" si="260">O161*COS(RADIANS(67.5))-S161*COS(RADIANS(22.5))</x:f>
        <x:v>839.9696488032279</x:v>
      </x:c>
      <x:c r="Z161" s="260" t="n">
        <x:f t="shared" ref="Z161:Z212" si="261">-L161*COS(RADIANS(22.5))+P161*COS(RADIANS(67.5))</x:f>
        <x:v>675.8704287852967</x:v>
      </x:c>
      <x:c r="AA161" s="260" t="n">
        <x:f t="shared" ref="AA161:AA212" si="262">M161*COS(RADIANS(22.5))+Q161*COS(RADIANS(67.5))</x:f>
        <x:v>1271.7379649287511</x:v>
      </x:c>
      <x:c r="AB161" s="260" t="n">
        <x:f t="shared" ref="AB161:AB212" si="263">-N161*COS(RADIANS(22.5))+R161*COS(RADIANS(67.5))</x:f>
        <x:v>-1199.92723945486</x:v>
      </x:c>
      <x:c r="AC161" s="260" t="n">
        <x:f t="shared" ref="AC161:AC212" si="264">O161*COS(RADIANS(22.5))+S161*COS(RADIANS(67.5))</x:f>
        <x:v>-1795.7947755983141</x:v>
      </x:c>
      <x:c r="AD161" s="260"/>
      <x:c r="AE161" s="282">
        <x:f t="shared" si="39"/>
        <x:v>0</x:v>
      </x:c>
      <x:c r="AF161" s="282">
        <x:f t="shared" si="10"/>
        <x:v>-1048.1136213391262</x:v>
      </x:c>
      <x:c r="AJ161" s="272">
        <x:f t="shared" si="244"/>
        <x:v>-135.17408575705934</x:v>
      </x:c>
      <x:c r="AK161" s="272">
        <x:f t="shared" si="245"/>
        <x:v>-127.17379649287511</x:v>
      </x:c>
      <x:c r="AL161" s="272">
        <x:f t="shared" si="246"/>
        <x:v>-119.99272394548601</x:v>
      </x:c>
      <x:c r="AM161" s="272">
        <x:f t="shared" si="247"/>
        <x:v>-359.15895511966283</x:v>
      </x:c>
      <x:c r="AN161" s="272">
        <x:f t="shared" si="248"/>
        <x:v>-372.75337962091754</x:v>
      </x:c>
      <x:c r="AO161" s="272">
        <x:f t="shared" si="249"/>
        <x:v>42.52154109692205</x:v>
      </x:c>
      <x:c r="AP161" s="272">
        <x:f t="shared" si="250"/>
        <x:v>-59.85818383321395</x:v>
      </x:c>
      <x:c r="AQ161" s="272">
        <x:f t="shared" si="251"/>
        <x:v>-167.99392976064559</x:v>
      </x:c>
      <x:c r="AR161" s="272"/>
      <x:c r="AS161" s="286">
        <x:f t="shared" si="32"/>
        <x:v>-741.49956131508338</x:v>
      </x:c>
      <x:c r="AT161" s="286">
        <x:f t="shared" si="33"/>
        <x:v>-558.08395211785501</x:v>
      </x:c>
      <x:c r="AY161" s="279">
        <x:f t="shared" si="252"/>
        <x:v>-246.612570401401</x:v>
      </x:c>
      <x:c r="AZ161" s="279">
        <x:f t="shared" si="253"/>
        <x:v>246.612570401401</x:v>
      </x:c>
      <x:c r="BA161" s="279">
        <x:f t="shared" si="254"/>
        <x:v>494.62829438139278</x:v>
      </x:c>
      <x:c r="BB161" s="279">
        <x:f t="shared" si="255"/>
        <x:v>494.62829438139278</x:v>
      </x:c>
      <x:c r="BC161" s="279"/>
      <x:c r="BD161" s="289" t="n">
        <x:f t="shared" ref="BD161:BD212" si="265">AY161+AZ161</x:f>
        <x:v>0</x:v>
      </x:c>
      <x:c r="BE161" s="289" t="n">
        <x:f t="shared" ref="BE161:BE212" si="266">BA161+BB161</x:f>
        <x:v>989.2565887627856</x:v>
      </x:c>
    </x:row>
    <x:row r="162" ht="15.75" customHeight="1">
      <x:c r="A162" s="21">
        <x:v>260</x:v>
      </x:c>
      <x:c r="B162" s="21">
        <x:f t="shared" si="19"/>
        <x:v>440</x:v>
      </x:c>
      <x:c r="C162" s="21">
        <x:f t="shared" si="0"/>
        <x:v>440</x:v>
      </x:c>
      <x:c r="D162" s="21">
        <x:f t="shared" si="20"/>
        <x:v>260</x:v>
      </x:c>
      <x:c r="E162" s="22" t="n">
        <x:f t="shared" ref="E162:H162" si="267">A162*PI()/180</x:f>
        <x:v>4.537856055185257</x:v>
      </x:c>
      <x:c r="F162" s="22">
        <x:f t="shared" si="267"/>
        <x:v>7.67944870877505</x:v>
      </x:c>
      <x:c r="G162" s="22">
        <x:f t="shared" si="267"/>
        <x:v>7.67944870877505</x:v>
      </x:c>
      <x:c r="H162" s="22">
        <x:f t="shared" si="267"/>
        <x:v>4.5378560551852569</x:v>
      </x:c>
      <x:c r="I162" s="23"/>
      <x:c r="J162" s="23"/>
      <x:c r="K162" s="23"/>
      <x:c r="L162" s="249">
        <x:f t="shared" si="236"/>
        <x:v>-1346.7635913997776</x:v>
      </x:c>
      <x:c r="M162" s="249">
        <x:f t="shared" si="237"/>
        <x:v>1346.7635913997776</x:v>
      </x:c>
      <x:c r="N162" s="249">
        <x:f t="shared" si="238"/>
        <x:v>1346.7635913997776</x:v>
      </x:c>
      <x:c r="O162" s="249">
        <x:f t="shared" si="239"/>
        <x:v>-1346.7635913997776</x:v>
      </x:c>
      <x:c r="P162" s="249">
        <x:f t="shared" si="240"/>
        <x:v>-1354.5473972180012</x:v>
      </x:c>
      <x:c r="Q162" s="249">
        <x:f t="shared" si="241"/>
        <x:v>-54.074264898649062</x:v>
      </x:c>
      <x:c r="R162" s="249">
        <x:f t="shared" si="242"/>
        <x:v>-54.074264898649062</x:v>
      </x:c>
      <x:c r="S162" s="249">
        <x:f t="shared" si="243"/>
        <x:v>-1354.5473972180012</x:v>
      </x:c>
      <x:c r="T162" s="23"/>
      <x:c r="U162" s="23"/>
      <x:c r="V162" s="260">
        <x:f t="shared" si="257"/>
        <x:v>-1766.8227298473494</x:v>
      </x:c>
      <x:c r="W162" s="260">
        <x:f t="shared" si="258"/>
        <x:v>565.34222031665774</x:v>
      </x:c>
      <x:c r="X162" s="260">
        <x:f t="shared" si="259"/>
        <x:v>465.42600716574697</x:v>
      </x:c>
      <x:c r="Y162" s="260">
        <x:f t="shared" si="260"/>
        <x:v>736.05450236494471</x:v>
      </x:c>
      <x:c r="Z162" s="260">
        <x:f t="shared" si="261"/>
        <x:v>725.88446995706477</x:v>
      </x:c>
      <x:c r="AA162" s="260">
        <x:f t="shared" si="262"/>
        <x:v>1223.5539919316141</x:v>
      </x:c>
      <x:c r="AB162" s="260">
        <x:f t="shared" si="263"/>
        <x:v>-1264.9406425196823</x:v>
      </x:c>
      <x:c r="AC162" s="260">
        <x:f t="shared" si="264"/>
        <x:v>-1762.6101644942316</x:v>
      </x:c>
      <x:c r="AD162" s="260"/>
      <x:c r="AE162" s="282">
        <x:f t="shared" si="39"/>
        <x:v>0</x:v>
      </x:c>
      <x:c r="AF162" s="282">
        <x:f t="shared" si="10"/>
        <x:v>-1078.1123451252352</x:v>
      </x:c>
      <x:c r="AJ162" s="272">
        <x:f t="shared" si="244"/>
        <x:v>-145.17689399141295</x:v>
      </x:c>
      <x:c r="AK162" s="272">
        <x:f t="shared" si="245"/>
        <x:v>-122.35539919316142</x:v>
      </x:c>
      <x:c r="AL162" s="272">
        <x:f t="shared" si="246"/>
        <x:v>-126.49406425196824</x:v>
      </x:c>
      <x:c r="AM162" s="272">
        <x:f t="shared" si="247"/>
        <x:v>-352.52203289884636</x:v>
      </x:c>
      <x:c r="AN162" s="272">
        <x:f t="shared" si="248"/>
        <x:v>-353.36454596946987</x:v>
      </x:c>
      <x:c r="AO162" s="272">
        <x:f t="shared" si="249"/>
        <x:v>56.534222031665777</x:v>
      </x:c>
      <x:c r="AP162" s="272">
        <x:f t="shared" si="250"/>
        <x:v>-46.542600716574697</x:v>
      </x:c>
      <x:c r="AQ162" s="272">
        <x:f t="shared" si="251"/>
        <x:v>-147.21090047298895</x:v>
      </x:c>
      <x:c r="AR162" s="272"/>
      <x:c r="AS162" s="286">
        <x:f t="shared" si="32"/>
        <x:v>-746.54839033538906</x:v>
      </x:c>
      <x:c r="AT162" s="286">
        <x:f t="shared" si="33"/>
        <x:v>-490.58382512736779</x:v>
      </x:c>
      <x:c r="AY162" s="279">
        <x:f t="shared" si="252"/>
        <x:v>-211.50830894449092</x:v>
      </x:c>
      <x:c r="AZ162" s="279">
        <x:f t="shared" si="253"/>
        <x:v>211.50830894449092</x:v>
      </x:c>
      <x:c r="BA162" s="279">
        <x:f t="shared" si="254"/>
        <x:v>510.62622800838727</x:v>
      </x:c>
      <x:c r="BB162" s="279">
        <x:f t="shared" si="255"/>
        <x:v>510.62622800838727</x:v>
      </x:c>
      <x:c r="BC162" s="279"/>
      <x:c r="BD162" s="289">
        <x:f t="shared" si="265"/>
        <x:v>0</x:v>
      </x:c>
      <x:c r="BE162" s="289">
        <x:f t="shared" si="266"/>
        <x:v>1021.2524560167745</x:v>
      </x:c>
    </x:row>
    <x:row r="163" ht="15.75" customHeight="1">
      <x:c r="A163" s="21">
        <x:v>262</x:v>
      </x:c>
      <x:c r="B163" s="21">
        <x:f t="shared" si="19"/>
        <x:v>442</x:v>
      </x:c>
      <x:c r="C163" s="21">
        <x:f t="shared" si="0"/>
        <x:v>442</x:v>
      </x:c>
      <x:c r="D163" s="21">
        <x:f t="shared" si="20"/>
        <x:v>262</x:v>
      </x:c>
      <x:c r="E163" s="22" t="n">
        <x:f t="shared" ref="E163:H163" si="268">A163*PI()/180</x:f>
        <x:v>4.572762640225144</x:v>
      </x:c>
      <x:c r="F163" s="22">
        <x:f t="shared" si="268"/>
        <x:v>7.7143552938149371</x:v>
      </x:c>
      <x:c r="G163" s="22">
        <x:f t="shared" si="268"/>
        <x:v>7.7143552938149371</x:v>
      </x:c>
      <x:c r="H163" s="22">
        <x:f t="shared" si="268"/>
        <x:v>4.572762640225144</x:v>
      </x:c>
      <x:c r="I163" s="23"/>
      <x:c r="J163" s="23"/>
      <x:c r="K163" s="23"/>
      <x:c r="L163" s="249">
        <x:f t="shared" si="236"/>
        <x:v>-1354.2307893369994</x:v>
      </x:c>
      <x:c r="M163" s="249">
        <x:f t="shared" si="237"/>
        <x:v>1354.2307893369994</x:v>
      </x:c>
      <x:c r="N163" s="249">
        <x:f t="shared" si="238"/>
        <x:v>1354.2307893369994</x:v>
      </x:c>
      <x:c r="O163" s="249">
        <x:f t="shared" si="239"/>
        <x:v>-1354.2307893369994</x:v>
      </x:c>
      <x:c r="P163" s="249">
        <x:f t="shared" si="240"/>
        <x:v>-1241.6195747603072</x:v>
      </x:c>
      <x:c r="Q163" s="249">
        <x:f t="shared" si="241"/>
        <x:v>-199.33464570515412</x:v>
      </x:c>
      <x:c r="R163" s="249">
        <x:f t="shared" si="242"/>
        <x:v>-199.33464570515412</x:v>
      </x:c>
      <x:c r="S163" s="249">
        <x:f t="shared" si="243"/>
        <x:v>-1241.6195747603072</x:v>
      </x:c>
      <x:c r="T163" s="23"/>
      <x:c r="U163" s="23"/>
      <x:c r="V163" s="260">
        <x:f t="shared" si="257"/>
        <x:v>-1665.3485989643832</x:v>
      </x:c>
      <x:c r="W163" s="260">
        <x:f t="shared" si="258"/>
        <x:v>702.40288596534856</x:v>
      </x:c>
      <x:c r="X163" s="260">
        <x:f t="shared" si="259"/>
        <x:v>334.080487390587</x:v>
      </x:c>
      <x:c r="Y163" s="260">
        <x:f t="shared" si="260"/>
        <x:v>628.86522560844753</x:v>
      </x:c>
      <x:c r="Z163" s="260">
        <x:f t="shared" si="261"/>
        <x:v>775.99886800410025</x:v>
      </x:c>
      <x:c r="AA163" s="260">
        <x:f t="shared" si="262"/>
        <x:v>1174.8640421573305</x:v>
      </x:c>
      <x:c r="AB163" s="260">
        <x:f t="shared" si="263"/>
        <x:v>-1327.4281749727852</x:v>
      </x:c>
      <x:c r="AC163" s="260">
        <x:f t="shared" si="264"/>
        <x:v>-1726.2933491260155</x:v>
      </x:c>
      <x:c r="AD163" s="260"/>
      <x:c r="AE163" s="282">
        <x:f t="shared" si="39"/>
        <x:v>0</x:v>
      </x:c>
      <x:c r="AF163" s="282">
        <x:f t="shared" si="10"/>
        <x:v>-1102.8586139373701</x:v>
      </x:c>
      <x:c r="AJ163" s="272">
        <x:f t="shared" si="244"/>
        <x:v>-155.19977360082007</x:v>
      </x:c>
      <x:c r="AK163" s="272">
        <x:f t="shared" si="245"/>
        <x:v>-117.48640421573305</x:v>
      </x:c>
      <x:c r="AL163" s="272">
        <x:f t="shared" si="246"/>
        <x:v>-132.74281749727854</x:v>
      </x:c>
      <x:c r="AM163" s="272">
        <x:f t="shared" si="247"/>
        <x:v>-345.25866982520313</x:v>
      </x:c>
      <x:c r="AN163" s="272">
        <x:f t="shared" si="248"/>
        <x:v>-333.06971979287664</x:v>
      </x:c>
      <x:c r="AO163" s="272">
        <x:f t="shared" si="249"/>
        <x:v>70.240288596534853</x:v>
      </x:c>
      <x:c r="AP163" s="272">
        <x:f t="shared" si="250"/>
        <x:v>-33.4080487390587</x:v>
      </x:c>
      <x:c r="AQ163" s="272">
        <x:f t="shared" si="251"/>
        <x:v>-125.77304512168951</x:v>
      </x:c>
      <x:c r="AR163" s="272"/>
      <x:c r="AS163" s="286">
        <x:f t="shared" si="32"/>
        <x:v>-750.68766513903483</x:v>
      </x:c>
      <x:c r="AT163" s="286">
        <x:f t="shared" si="33"/>
        <x:v>-422.01052505708998</x:v>
      </x:c>
      <x:c r="AY163" s="279">
        <x:f t="shared" si="252"/>
        <x:v>-175.37360026714325</x:v>
      </x:c>
      <x:c r="AZ163" s="279">
        <x:f t="shared" si="253"/>
        <x:v>175.37360026714325</x:v>
      </x:c>
      <x:c r="BA163" s="279">
        <x:f t="shared" si="254"/>
        <x:v>524.13644198049417</x:v>
      </x:c>
      <x:c r="BB163" s="279">
        <x:f t="shared" si="255"/>
        <x:v>524.13644198049417</x:v>
      </x:c>
      <x:c r="BC163" s="279"/>
      <x:c r="BD163" s="289">
        <x:f t="shared" si="265"/>
        <x:v>0</x:v>
      </x:c>
      <x:c r="BE163" s="289">
        <x:f t="shared" si="266"/>
        <x:v>1048.2728839609883</x:v>
      </x:c>
    </x:row>
    <x:row r="164" ht="15.75" customHeight="1">
      <x:c r="A164" s="21">
        <x:v>264</x:v>
      </x:c>
      <x:c r="B164" s="21">
        <x:f t="shared" si="19"/>
        <x:v>444</x:v>
      </x:c>
      <x:c r="C164" s="21">
        <x:f t="shared" si="0"/>
        <x:v>444</x:v>
      </x:c>
      <x:c r="D164" s="21">
        <x:f t="shared" si="20"/>
        <x:v>264</x:v>
      </x:c>
      <x:c r="E164" s="22" t="n">
        <x:f t="shared" ref="E164:H164" si="269">A164*PI()/180</x:f>
        <x:v>4.60766922526503</x:v>
      </x:c>
      <x:c r="F164" s="22">
        <x:f t="shared" si="269"/>
        <x:v>7.7492618788548233</x:v>
      </x:c>
      <x:c r="G164" s="22">
        <x:f t="shared" si="269"/>
        <x:v>7.7492618788548233</x:v>
      </x:c>
      <x:c r="H164" s="22">
        <x:f t="shared" si="269"/>
        <x:v>4.6076692252650302</x:v>
      </x:c>
      <x:c r="I164" s="23"/>
      <x:c r="J164" s="23"/>
      <x:c r="K164" s="23"/>
      <x:c r="L164" s="249">
        <x:f t="shared" si="236"/>
        <x:v>-1360.0480656606753</x:v>
      </x:c>
      <x:c r="M164" s="249">
        <x:f t="shared" si="237"/>
        <x:v>1360.0480656606753</x:v>
      </x:c>
      <x:c r="N164" s="249">
        <x:f t="shared" si="238"/>
        <x:v>1360.0480656606753</x:v>
      </x:c>
      <x:c r="O164" s="249">
        <x:f t="shared" si="239"/>
        <x:v>-1360.0480656606753</x:v>
      </x:c>
      <x:c r="P164" s="249">
        <x:f t="shared" si="240"/>
        <x:v>-1124.5467284264842</x:v>
      </x:c>
      <x:c r="Q164" s="249">
        <x:f t="shared" si="241"/>
        <x:v>-341.71986626989184</x:v>
      </x:c>
      <x:c r="R164" s="249">
        <x:f t="shared" si="242"/>
        <x:v>-341.71986626989184</x:v>
      </x:c>
      <x:c r="S164" s="249">
        <x:f t="shared" si="243"/>
        <x:v>-1124.5467284264842</x:v>
      </x:c>
      <x:c r="T164" s="23"/>
      <x:c r="U164" s="23"/>
      <x:c r="V164" s="260">
        <x:f t="shared" si="257"/>
        <x:v>-1559.4135676942853</x:v>
      </x:c>
      <x:c r="W164" s="260">
        <x:f t="shared" si="258"/>
        <x:v>836.17585224777531</x:v>
      </x:c>
      <x:c r="X164" s="260">
        <x:f t="shared" si="259"/>
        <x:v>204.75987164928114</x:v>
      </x:c>
      <x:c r="Y164" s="260">
        <x:f t="shared" si="260"/>
        <x:v>518.47784379722884</x:v>
      </x:c>
      <x:c r="Z164" s="260">
        <x:f t="shared" si="261"/>
        <x:v>826.17516920628498</x:v>
      </x:c>
      <x:c r="AA164" s="260">
        <x:f t="shared" si="262"/>
        <x:v>1125.7500397639628</x:v>
      </x:c>
      <x:c r="AB164" s="260">
        <x:f t="shared" si="263"/>
        <x:v>-1387.2911024269661</x:v>
      </x:c>
      <x:c r="AC164" s="260">
        <x:f t="shared" si="264"/>
        <x:v>-1686.865972984644</x:v>
      </x:c>
      <x:c r="AD164" s="260"/>
      <x:c r="AE164" s="282">
        <x:f t="shared" si="39"/>
        <x:v>0</x:v>
      </x:c>
      <x:c r="AF164" s="282">
        <x:f t="shared" si="10"/>
        <x:v>-1122.2318664413624</x:v>
      </x:c>
      <x:c r="AJ164" s="272">
        <x:f t="shared" si="244"/>
        <x:v>-165.23503384125701</x:v>
      </x:c>
      <x:c r="AK164" s="272">
        <x:f t="shared" si="245"/>
        <x:v>-112.57500397639629</x:v>
      </x:c>
      <x:c r="AL164" s="272">
        <x:f t="shared" si="246"/>
        <x:v>-138.72911024269661</x:v>
      </x:c>
      <x:c r="AM164" s="272">
        <x:f t="shared" si="247"/>
        <x:v>-337.37319459692884</x:v>
      </x:c>
      <x:c r="AN164" s="272">
        <x:f t="shared" si="248"/>
        <x:v>-311.8827135388571</x:v>
      </x:c>
      <x:c r="AO164" s="272">
        <x:f t="shared" si="249"/>
        <x:v>83.617585224777542</x:v>
      </x:c>
      <x:c r="AP164" s="272">
        <x:f t="shared" si="250"/>
        <x:v>-20.475987164928114</x:v>
      </x:c>
      <x:c r="AQ164" s="272">
        <x:f t="shared" si="251"/>
        <x:v>-103.69556875944578</x:v>
      </x:c>
      <x:c r="AR164" s="272"/>
      <x:c r="AS164" s="286">
        <x:f t="shared" si="32"/>
        <x:v>-753.91234265727871</x:v>
      </x:c>
      <x:c r="AT164" s="286">
        <x:f t="shared" si="33"/>
        <x:v>-352.43668423845344</x:v>
      </x:c>
      <x:c r="AY164" s="279">
        <x:f t="shared" si="252"/>
        <x:v>-138.38448903778763</x:v>
      </x:c>
      <x:c r="AZ164" s="279">
        <x:f t="shared" si="253"/>
        <x:v>138.38448903778763</x:v>
      </x:c>
      <x:c r="BA164" s="279">
        <x:f t="shared" si="254"/>
        <x:v>535.09311589328274</x:v>
      </x:c>
      <x:c r="BB164" s="279">
        <x:f t="shared" si="255"/>
        <x:v>535.09311589328274</x:v>
      </x:c>
      <x:c r="BC164" s="279"/>
      <x:c r="BD164" s="289">
        <x:f t="shared" si="265"/>
        <x:v>0</x:v>
      </x:c>
      <x:c r="BE164" s="289">
        <x:f t="shared" si="266"/>
        <x:v>1070.1862317865655</x:v>
      </x:c>
    </x:row>
    <x:row r="165" ht="15.75" customHeight="1">
      <x:c r="A165" s="21">
        <x:v>266</x:v>
      </x:c>
      <x:c r="B165" s="21">
        <x:f t="shared" si="19"/>
        <x:v>446</x:v>
      </x:c>
      <x:c r="C165" s="21">
        <x:f t="shared" si="0"/>
        <x:v>446</x:v>
      </x:c>
      <x:c r="D165" s="21">
        <x:f t="shared" si="20"/>
        <x:v>266</x:v>
      </x:c>
      <x:c r="E165" s="22" t="n">
        <x:f t="shared" ref="E165:H165" si="270">A165*PI()/180</x:f>
        <x:v>4.642575810304916</x:v>
      </x:c>
      <x:c r="F165" s="22">
        <x:f t="shared" si="270"/>
        <x:v>7.7841684638947095</x:v>
      </x:c>
      <x:c r="G165" s="22">
        <x:f t="shared" si="270"/>
        <x:v>7.7841684638947095</x:v>
      </x:c>
      <x:c r="H165" s="22">
        <x:f t="shared" si="270"/>
        <x:v>4.6425758103049164</x:v>
      </x:c>
      <x:c r="I165" s="23"/>
      <x:c r="J165" s="23"/>
      <x:c r="K165" s="23"/>
      <x:c r="L165" s="249">
        <x:f t="shared" si="236"/>
        <x:v>-1364.2083329156881</x:v>
      </x:c>
      <x:c r="M165" s="249">
        <x:f t="shared" si="237"/>
        <x:v>1364.2083329156881</x:v>
      </x:c>
      <x:c r="N165" s="249">
        <x:f t="shared" si="238"/>
        <x:v>1364.2083329156881</x:v>
      </x:c>
      <x:c r="O165" s="249">
        <x:f t="shared" si="239"/>
        <x:v>-1364.2083329156881</x:v>
      </x:c>
      <x:c r="P165" s="249">
        <x:f t="shared" si="240"/>
        <x:v>-1003.4252533891303</x:v>
      </x:c>
      <x:c r="Q165" s="249">
        <x:f t="shared" si="241"/>
        <x:v>-481.01021207740234</x:v>
      </x:c>
      <x:c r="R165" s="249">
        <x:f t="shared" si="242"/>
        <x:v>-481.01021207740234</x:v>
      </x:c>
      <x:c r="S165" s="249">
        <x:f t="shared" si="243"/>
        <x:v>-1003.4252533891303</x:v>
      </x:c>
      <x:c r="T165" s="23"/>
      <x:c r="U165" s="23"/>
      <x:c r="V165" s="260">
        <x:f t="shared" si="257"/>
        <x:v>-1449.1039813124016</x:v>
      </x:c>
      <x:c r="W165" s="260">
        <x:f t="shared" si="258"/>
        <x:v>966.45541716845798</x:v>
      </x:c>
      <x:c r="X165" s="260">
        <x:f t="shared" si="259"/>
        <x:v>77.664437434007255</x:v>
      </x:c>
      <x:c r="Y165" s="260">
        <x:f t="shared" si="260"/>
        <x:v>404.9841267099365</x:v>
      </x:c>
      <x:c r="Z165" s="260">
        <x:f t="shared" si="261"/>
        <x:v>876.36993677338523</x:v>
      </x:c>
      <x:c r="AA165" s="260">
        <x:f t="shared" si="262"/>
        <x:v>1076.2895179017075</x:v>
      </x:c>
      <x:c r="AB165" s="260">
        <x:f t="shared" si="263"/>
        <x:v>-1444.4387958225877</x:v>
      </x:c>
      <x:c r="AC165" s="260">
        <x:f t="shared" si="264"/>
        <x:v>-1644.35837695091</x:v>
      </x:c>
      <x:c r="AD165" s="260"/>
      <x:c r="AE165" s="282">
        <x:f t="shared" si="39"/>
        <x:v>0</x:v>
      </x:c>
      <x:c r="AF165" s="282">
        <x:f t="shared" si="10"/>
        <x:v>-1136.137718098405</x:v>
      </x:c>
      <x:c r="AJ165" s="272">
        <x:f t="shared" si="244"/>
        <x:v>-175.27398735467705</x:v>
      </x:c>
      <x:c r="AK165" s="272">
        <x:f t="shared" si="245"/>
        <x:v>-107.62895179017076</x:v>
      </x:c>
      <x:c r="AL165" s="272">
        <x:f t="shared" si="246"/>
        <x:v>-144.44387958225877</x:v>
      </x:c>
      <x:c r="AM165" s="272">
        <x:f t="shared" si="247"/>
        <x:v>-328.87167539018202</x:v>
      </x:c>
      <x:c r="AN165" s="272">
        <x:f t="shared" si="248"/>
        <x:v>-289.82079626248031</x:v>
      </x:c>
      <x:c r="AO165" s="272">
        <x:f t="shared" si="249"/>
        <x:v>96.645541716845798</x:v>
      </x:c>
      <x:c r="AP165" s="272">
        <x:f t="shared" si="250"/>
        <x:v>-7.7664437434007256</x:v>
      </x:c>
      <x:c r="AQ165" s="272">
        <x:f t="shared" si="251"/>
        <x:v>-80.996825341987304</x:v>
      </x:c>
      <x:c r="AR165" s="272"/>
      <x:c r="AS165" s="286">
        <x:f t="shared" si="32"/>
        <x:v>-756.21849411728863</x:v>
      </x:c>
      <x:c r="AT165" s="286">
        <x:f t="shared" si="33"/>
        <x:v>-281.93852363102252</x:v>
      </x:c>
      <x:c r="AY165" s="279">
        <x:f t="shared" si="252"/>
        <x:v>-100.72118248819918</x:v>
      </x:c>
      <x:c r="AZ165" s="279">
        <x:f t="shared" si="253"/>
        <x:v>100.72118248819918</x:v>
      </x:c>
      <x:c r="BA165" s="279">
        <x:f t="shared" si="254"/>
        <x:v>543.44286993281139</x:v>
      </x:c>
      <x:c r="BB165" s="279">
        <x:f t="shared" si="255"/>
        <x:v>543.44286993281139</x:v>
      </x:c>
      <x:c r="BC165" s="279"/>
      <x:c r="BD165" s="289">
        <x:f t="shared" si="265"/>
        <x:v>0</x:v>
      </x:c>
      <x:c r="BE165" s="289">
        <x:f t="shared" si="266"/>
        <x:v>1086.8857398656228</x:v>
      </x:c>
    </x:row>
    <x:row r="166" ht="15.75" customHeight="1">
      <x:c r="A166" s="21">
        <x:v>268</x:v>
      </x:c>
      <x:c r="B166" s="21">
        <x:f t="shared" si="19"/>
        <x:v>448</x:v>
      </x:c>
      <x:c r="C166" s="21">
        <x:f t="shared" si="0"/>
        <x:v>448</x:v>
      </x:c>
      <x:c r="D166" s="21">
        <x:f t="shared" si="20"/>
        <x:v>268</x:v>
      </x:c>
      <x:c r="E166" s="22" t="n">
        <x:f t="shared" ref="E166:H166" si="271">A166*PI()/180</x:f>
        <x:v>4.677482395344803</x:v>
      </x:c>
      <x:c r="F166" s="22">
        <x:f t="shared" si="271"/>
        <x:v>7.8190750489345966</x:v>
      </x:c>
      <x:c r="G166" s="22">
        <x:f t="shared" si="271"/>
        <x:v>7.8190750489345966</x:v>
      </x:c>
      <x:c r="H166" s="22">
        <x:f t="shared" si="271"/>
        <x:v>4.6774823953448026</x:v>
      </x:c>
      <x:c r="I166" s="23"/>
      <x:c r="J166" s="23"/>
      <x:c r="K166" s="23"/>
      <x:c r="L166" s="249">
        <x:f t="shared" si="236"/>
        <x:v>-1366.7065224572275</x:v>
      </x:c>
      <x:c r="M166" s="249">
        <x:f t="shared" si="237"/>
        <x:v>1366.7065224572277</x:v>
      </x:c>
      <x:c r="N166" s="249">
        <x:f t="shared" si="238"/>
        <x:v>1366.7065224572277</x:v>
      </x:c>
      <x:c r="O166" s="249">
        <x:f t="shared" si="239"/>
        <x:v>-1366.7065224572275</x:v>
      </x:c>
      <x:c r="P166" s="249">
        <x:f t="shared" si="240"/>
        <x:v>-878.36952703738052</x:v>
      </x:c>
      <x:c r="Q166" s="249">
        <x:f t="shared" si="241"/>
        <x:v>-617.00278882649059</x:v>
      </x:c>
      <x:c r="R166" s="249">
        <x:f t="shared" si="242"/>
        <x:v>-617.00278882649059</x:v>
      </x:c>
      <x:c r="S166" s="249">
        <x:f t="shared" si="243"/>
        <x:v>-878.36952703738052</x:v>
      </x:c>
      <x:c r="T166" s="23"/>
      <x:c r="U166" s="23"/>
      <x:c r="V166" s="260">
        <x:f t="shared" si="257"/>
        <x:v>-1334.5235710611428</x:v>
      </x:c>
      <x:c r="W166" s="260">
        <x:f t="shared" si="258"/>
        <x:v>1093.0521911488659</x:v>
      </x:c>
      <x:c r="X166" s="260">
        <x:f t="shared" si="259"/>
        <x:v>-47.02030504949073</x:v>
      </x:c>
      <x:c r="Y166" s="260">
        <x:f t="shared" si="260"/>
        <x:v>288.49168496176765</x:v>
      </x:c>
      <x:c r="Z166" s="260">
        <x:f t="shared" si="261"/>
        <x:v>926.5347175563445</x:v>
      </x:c>
      <x:c r="AA166" s="260">
        <x:f t="shared" si="262"/>
        <x:v>1026.555438040956</x:v>
      </x:c>
      <x:c r="AB166" s="260">
        <x:f t="shared" si="263"/>
        <x:v>-1498.7889280548641</x:v>
      </x:c>
      <x:c r="AC166" s="260">
        <x:f t="shared" si="264"/>
        <x:v>-1598.8096485394751</x:v>
      </x:c>
      <x:c r="AD166" s="260"/>
      <x:c r="AE166" s="282">
        <x:f t="shared" si="39"/>
        <x:v>0</x:v>
      </x:c>
      <x:c r="AF166" s="282">
        <x:f t="shared" si="10"/>
        <x:v>-1144.5084209970387</x:v>
      </x:c>
      <x:c r="AJ166" s="272">
        <x:f t="shared" si="244"/>
        <x:v>-185.30694351126891</x:v>
      </x:c>
      <x:c r="AK166" s="272">
        <x:f t="shared" si="245"/>
        <x:v>-102.6555438040956</x:v>
      </x:c>
      <x:c r="AL166" s="272">
        <x:f t="shared" si="246"/>
        <x:v>-149.8788928054864</x:v>
      </x:c>
      <x:c r="AM166" s="272">
        <x:f t="shared" si="247"/>
        <x:v>-319.76192970789504</x:v>
      </x:c>
      <x:c r="AN166" s="272">
        <x:f t="shared" si="248"/>
        <x:v>-266.90471421222855</x:v>
      </x:c>
      <x:c r="AO166" s="272">
        <x:f t="shared" si="249"/>
        <x:v>109.3052191148866</x:v>
      </x:c>
      <x:c r="AP166" s="272">
        <x:f t="shared" si="250"/>
        <x:v>4.7020305049490734</x:v>
      </x:c>
      <x:c r="AQ166" s="272">
        <x:f t="shared" si="251"/>
        <x:v>-57.698336992353532</x:v>
      </x:c>
      <x:c r="AR166" s="272"/>
      <x:c r="AS166" s="286">
        <x:f t="shared" si="32"/>
        <x:v>-757.60330982874598</x:v>
      </x:c>
      <x:c r="AT166" s="286">
        <x:f t="shared" si="33"/>
        <x:v>-210.59580158474643</x:v>
      </x:c>
      <x:c r="AY166" s="279">
        <x:f t="shared" si="252"/>
        <x:v>-62.567172461987028</x:v>
      </x:c>
      <x:c r="AZ166" s="279">
        <x:f t="shared" si="253"/>
        <x:v>62.567172461987028</x:v>
      </x:c>
      <x:c r="BA166" s="279">
        <x:f t="shared" si="254"/>
        <x:v>549.14502493671353</x:v>
      </x:c>
      <x:c r="BB166" s="279">
        <x:f t="shared" si="255"/>
        <x:v>549.14502493671353</x:v>
      </x:c>
      <x:c r="BC166" s="279"/>
      <x:c r="BD166" s="289">
        <x:f t="shared" si="265"/>
        <x:v>0</x:v>
      </x:c>
      <x:c r="BE166" s="289">
        <x:f t="shared" si="266"/>
        <x:v>1098.2900498734271</x:v>
      </x:c>
    </x:row>
    <x:row r="167" ht="15.75" customHeight="1">
      <x:c r="A167" s="21">
        <x:v>270</x:v>
      </x:c>
      <x:c r="B167" s="21">
        <x:f t="shared" si="19"/>
        <x:v>450</x:v>
      </x:c>
      <x:c r="C167" s="21">
        <x:f t="shared" si="0"/>
        <x:v>450</x:v>
      </x:c>
      <x:c r="D167" s="21">
        <x:f t="shared" si="20"/>
        <x:v>270</x:v>
      </x:c>
      <x:c r="E167" s="22" t="n">
        <x:f t="shared" ref="E167:H167" si="272">A167*PI()/180</x:f>
        <x:v>4.71238898038469</x:v>
      </x:c>
      <x:c r="F167" s="22">
        <x:f t="shared" si="272"/>
        <x:v>7.8539816339744828</x:v>
      </x:c>
      <x:c r="G167" s="22">
        <x:f t="shared" si="272"/>
        <x:v>7.8539816339744828</x:v>
      </x:c>
      <x:c r="H167" s="22">
        <x:f t="shared" si="272"/>
        <x:v>4.7123889803846897</x:v>
      </x:c>
      <x:c r="I167" s="23"/>
      <x:c r="J167" s="23"/>
      <x:c r="K167" s="23"/>
      <x:c r="L167" s="249">
        <x:f t="shared" si="236"/>
        <x:v>-1367.539590626154</x:v>
      </x:c>
      <x:c r="M167" s="249">
        <x:f t="shared" si="237"/>
        <x:v>1367.539590626154</x:v>
      </x:c>
      <x:c r="N167" s="249">
        <x:f t="shared" si="238"/>
        <x:v>1367.539590626154</x:v>
      </x:c>
      <x:c r="O167" s="249">
        <x:f t="shared" si="239"/>
        <x:v>-1367.539590626154</x:v>
      </x:c>
      <x:c r="P167" s="249">
        <x:f t="shared" si="240"/>
        <x:v>-749.51193132630772</x:v>
      </x:c>
      <x:c r="Q167" s="249">
        <x:f t="shared" si="241"/>
        <x:v>-749.5119313263059</x:v>
      </x:c>
      <x:c r="R167" s="249">
        <x:f t="shared" si="242"/>
        <x:v>-749.5119313263059</x:v>
      </x:c>
      <x:c r="S167" s="249">
        <x:f t="shared" si="243"/>
        <x:v>-749.51193132630772</x:v>
      </x:c>
      <x:c r="T167" s="23"/>
      <x:c r="U167" s="23"/>
      <x:c r="V167" s="260">
        <x:f t="shared" si="257"/>
        <x:v>-1215.7934771613473</x:v>
      </x:c>
      <x:c r="W167" s="260">
        <x:f t="shared" si="258"/>
        <x:v>1215.7934771613454</x:v>
      </x:c>
      <x:c r="X167" s="260">
        <x:f t="shared" si="259"/>
        <x:v>-169.12398828941275</x:v>
      </x:c>
      <x:c r="Y167" s="260">
        <x:f t="shared" si="260"/>
        <x:v>169.12398828941446</x:v>
      </x:c>
      <x:c r="Z167" s="260">
        <x:f t="shared" si="261"/>
        <x:v>976.61603919982872</x:v>
      </x:c>
      <x:c r="AA167" s="260">
        <x:f t="shared" si="262"/>
        <x:v>976.6160391998294</x:v>
      </x:c>
      <x:c r="AB167" s="260">
        <x:f t="shared" si="263"/>
        <x:v>-1550.2676361569058</x:v>
      </x:c>
      <x:c r="AC167" s="260">
        <x:f t="shared" si="264"/>
        <x:v>-1550.2676361569065</x:v>
      </x:c>
      <x:c r="AD167" s="260"/>
      <x:c r="AE167" s="282">
        <x:f t="shared" si="39"/>
        <x:v>0</x:v>
      </x:c>
      <x:c r="AF167" s="282">
        <x:f t="shared" si="10"/>
        <x:v>-1147.3031939141542</x:v>
      </x:c>
      <x:c r="AJ167" s="272">
        <x:f t="shared" si="244"/>
        <x:v>-195.32320783996576</x:v>
      </x:c>
      <x:c r="AK167" s="272">
        <x:f t="shared" si="245"/>
        <x:v>-97.661603919982952</x:v>
      </x:c>
      <x:c r="AL167" s="272">
        <x:f t="shared" si="246"/>
        <x:v>-155.02676361569058</x:v>
      </x:c>
      <x:c r="AM167" s="272">
        <x:f t="shared" si="247"/>
        <x:v>-310.05352723138134</x:v>
      </x:c>
      <x:c r="AN167" s="272">
        <x:f t="shared" si="248"/>
        <x:v>-243.15869543226947</x:v>
      </x:c>
      <x:c r="AO167" s="272">
        <x:f t="shared" si="249"/>
        <x:v>121.57934771613455</x:v>
      </x:c>
      <x:c r="AP167" s="272">
        <x:f t="shared" si="250"/>
        <x:v>16.912398828941274</x:v>
      </x:c>
      <x:c r="AQ167" s="272">
        <x:f t="shared" si="251"/>
        <x:v>-33.82479765788289</x:v>
      </x:c>
      <x:c r="AR167" s="272"/>
      <x:c r="AS167" s="286">
        <x:f t="shared" si="32"/>
        <x:v>-758.06510260702066</x:v>
      </x:c>
      <x:c r="AT167" s="286">
        <x:f t="shared" si="33"/>
        <x:v>-138.49174654507652</x:v>
      </x:c>
      <x:c r="AY167" s="279">
        <x:f t="shared" si="252"/>
        <x:v>-24.108341460769292</x:v>
      </x:c>
      <x:c r="AZ167" s="279">
        <x:f t="shared" si="253"/>
        <x:v>24.108341460769292</x:v>
      </x:c>
      <x:c r="BA167" s="279">
        <x:f t="shared" si="254"/>
        <x:v>552.17180057898884</x:v>
      </x:c>
      <x:c r="BB167" s="279">
        <x:f t="shared" si="255"/>
        <x:v>552.17180057898884</x:v>
      </x:c>
      <x:c r="BC167" s="279"/>
      <x:c r="BD167" s="289">
        <x:f t="shared" si="265"/>
        <x:v>0</x:v>
      </x:c>
      <x:c r="BE167" s="289">
        <x:f t="shared" si="266"/>
        <x:v>1104.3436011579777</x:v>
      </x:c>
    </x:row>
    <x:row r="168" ht="15.75" customHeight="1">
      <x:c r="A168" s="21">
        <x:v>272</x:v>
      </x:c>
      <x:c r="B168" s="21">
        <x:f t="shared" si="19"/>
        <x:v>452</x:v>
      </x:c>
      <x:c r="C168" s="21">
        <x:f t="shared" si="0"/>
        <x:v>452</x:v>
      </x:c>
      <x:c r="D168" s="21">
        <x:f t="shared" si="20"/>
        <x:v>272</x:v>
      </x:c>
      <x:c r="E168" s="22" t="n">
        <x:f t="shared" ref="E168:H168" si="273">A168*PI()/180</x:f>
        <x:v>4.747295565424577</x:v>
      </x:c>
      <x:c r="F168" s="22">
        <x:f t="shared" si="273"/>
        <x:v>7.888888219014369</x:v>
      </x:c>
      <x:c r="G168" s="22">
        <x:f t="shared" si="273"/>
        <x:v>7.888888219014369</x:v>
      </x:c>
      <x:c r="H168" s="22">
        <x:f t="shared" si="273"/>
        <x:v>4.7472955654245768</x:v>
      </x:c>
      <x:c r="I168" s="23"/>
      <x:c r="J168" s="23"/>
      <x:c r="K168" s="23"/>
      <x:c r="L168" s="249">
        <x:f t="shared" si="236"/>
        <x:v>-1366.7065224572277</x:v>
      </x:c>
      <x:c r="M168" s="249">
        <x:f t="shared" si="237"/>
        <x:v>1366.7065224572277</x:v>
      </x:c>
      <x:c r="N168" s="249">
        <x:f t="shared" si="238"/>
        <x:v>1366.7065224572277</x:v>
      </x:c>
      <x:c r="O168" s="249">
        <x:f t="shared" si="239"/>
        <x:v>-1366.7065224572277</x:v>
      </x:c>
      <x:c r="P168" s="249">
        <x:f t="shared" si="240"/>
        <x:v>-617.002788826489</x:v>
      </x:c>
      <x:c r="Q168" s="249">
        <x:f t="shared" si="241"/>
        <x:v>-878.36952703737552</x:v>
      </x:c>
      <x:c r="R168" s="249">
        <x:f t="shared" si="242"/>
        <x:v>-878.36952703737552</x:v>
      </x:c>
      <x:c r="S168" s="249">
        <x:f t="shared" si="243"/>
        <x:v>-617.002788826489</x:v>
      </x:c>
      <x:c r="T168" s="23"/>
      <x:c r="U168" s="23"/>
      <x:c r="V168" s="260">
        <x:f t="shared" si="257"/>
        <x:v>-1093.0521911488645</x:v>
      </x:c>
      <x:c r="W168" s="260">
        <x:f t="shared" si="258"/>
        <x:v>1334.5235710611382</x:v>
      </x:c>
      <x:c r="X168" s="260">
        <x:f t="shared" si="259"/>
        <x:v>-288.49168496176287</x:v>
      </x:c>
      <x:c r="Y168" s="260">
        <x:f t="shared" si="260"/>
        <x:v>47.020305049489252</x:v>
      </x:c>
      <x:c r="Z168" s="260">
        <x:f t="shared" si="261"/>
        <x:v>1026.5554380409565</x:v>
      </x:c>
      <x:c r="AA168" s="260">
        <x:f t="shared" si="262"/>
        <x:v>926.53471755634655</x:v>
      </x:c>
      <x:c r="AB168" s="260">
        <x:f t="shared" si="263"/>
        <x:v>-1598.8096485394735</x:v>
      </x:c>
      <x:c r="AC168" s="260">
        <x:f t="shared" si="264"/>
        <x:v>-1498.7889280548636</x:v>
      </x:c>
      <x:c r="AD168" s="260"/>
      <x:c r="AE168" s="282">
        <x:f t="shared" si="39"/>
        <x:v>1.1368683772161603E-13</x:v>
      </x:c>
      <x:c r="AF168" s="282">
        <x:f t="shared" si="10"/>
        <x:v>-1144.5084209970341</x:v>
      </x:c>
      <x:c r="AJ168" s="272">
        <x:f t="shared" si="244"/>
        <x:v>-205.31108760819131</x:v>
      </x:c>
      <x:c r="AK168" s="272">
        <x:f t="shared" si="245"/>
        <x:v>-92.653471755634655</x:v>
      </x:c>
      <x:c r="AL168" s="272">
        <x:f t="shared" si="246"/>
        <x:v>-159.88096485394738</x:v>
      </x:c>
      <x:c r="AM168" s="272">
        <x:f t="shared" si="247"/>
        <x:v>-299.75778561097275</x:v>
      </x:c>
      <x:c r="AN168" s="272">
        <x:f t="shared" si="248"/>
        <x:v>-218.61043822977291</x:v>
      </x:c>
      <x:c r="AO168" s="272">
        <x:f t="shared" si="249"/>
        <x:v>133.45235710611382</x:v>
      </x:c>
      <x:c r="AP168" s="272">
        <x:f t="shared" si="250"/>
        <x:v>28.84916849617629</x:v>
      </x:c>
      <x:c r="AQ168" s="272">
        <x:f t="shared" si="251"/>
        <x:v>-9.4040610098978501</x:v>
      </x:c>
      <x:c r="AR168" s="272"/>
      <x:c r="AS168" s="286">
        <x:f t="shared" si="32"/>
        <x:v>-757.60330982874609</x:v>
      </x:c>
      <x:c r="AT168" s="286">
        <x:f t="shared" si="33"/>
        <x:v>-65.712973637380642</x:v>
      </x:c>
      <x:c r="AY168" s="279">
        <x:f t="shared" si="252"/>
        <x:v>14.467942956682327</x:v>
      </x:c>
      <x:c r="AZ168" s="279">
        <x:f t="shared" si="253"/>
        <x:v>-14.467942956682327</x:v>
      </x:c>
      <x:c r="BA168" s="279">
        <x:f t="shared" si="254"/>
        <x:v>552.50845071295862</x:v>
      </x:c>
      <x:c r="BB168" s="279">
        <x:f t="shared" si="255"/>
        <x:v>552.50845071295862</x:v>
      </x:c>
      <x:c r="BC168" s="279"/>
      <x:c r="BD168" s="289">
        <x:f t="shared" si="265"/>
        <x:v>0</x:v>
      </x:c>
      <x:c r="BE168" s="289">
        <x:f t="shared" si="266"/>
        <x:v>1105.0169014259172</x:v>
      </x:c>
    </x:row>
    <x:row r="169" ht="15.75" customHeight="1">
      <x:c r="A169" s="21">
        <x:v>274</x:v>
      </x:c>
      <x:c r="B169" s="21">
        <x:f t="shared" si="19"/>
        <x:v>454</x:v>
      </x:c>
      <x:c r="C169" s="21">
        <x:f t="shared" si="0"/>
        <x:v>454</x:v>
      </x:c>
      <x:c r="D169" s="21">
        <x:f t="shared" si="20"/>
        <x:v>274</x:v>
      </x:c>
      <x:c r="E169" s="22" t="n">
        <x:f t="shared" ref="E169:H169" si="274">A169*PI()/180</x:f>
        <x:v>4.782202150464463</x:v>
      </x:c>
      <x:c r="F169" s="22">
        <x:f t="shared" si="274"/>
        <x:v>7.9237948040542552</x:v>
      </x:c>
      <x:c r="G169" s="22">
        <x:f t="shared" si="274"/>
        <x:v>7.9237948040542552</x:v>
      </x:c>
      <x:c r="H169" s="22">
        <x:f t="shared" si="274"/>
        <x:v>4.782202150464463</x:v>
      </x:c>
      <x:c r="I169" s="23"/>
      <x:c r="J169" s="23"/>
      <x:c r="K169" s="23"/>
      <x:c r="L169" s="249">
        <x:f t="shared" si="236"/>
        <x:v>-1364.2083329156883</x:v>
      </x:c>
      <x:c r="M169" s="249">
        <x:f t="shared" si="237"/>
        <x:v>1364.2083329156883</x:v>
      </x:c>
      <x:c r="N169" s="249">
        <x:f t="shared" si="238"/>
        <x:v>1364.2083329156883</x:v>
      </x:c>
      <x:c r="O169" s="249">
        <x:f t="shared" si="239"/>
        <x:v>-1364.2083329156883</x:v>
      </x:c>
      <x:c r="P169" s="249">
        <x:f t="shared" si="240"/>
        <x:v>-481.01021207740416</x:v>
      </x:c>
      <x:c r="Q169" s="249">
        <x:f t="shared" si="241"/>
        <x:v>-1003.4252533891254</x:v>
      </x:c>
      <x:c r="R169" s="249">
        <x:f t="shared" si="242"/>
        <x:v>-1003.4252533891254</x:v>
      </x:c>
      <x:c r="S169" s="249">
        <x:f t="shared" si="243"/>
        <x:v>-481.01021207740416</x:v>
      </x:c>
      <x:c r="T169" s="23"/>
      <x:c r="U169" s="23"/>
      <x:c r="V169" s="260">
        <x:f t="shared" si="257"/>
        <x:v>-966.4554171684598</x:v>
      </x:c>
      <x:c r="W169" s="260">
        <x:f t="shared" si="258"/>
        <x:v>1449.1039813123973</x:v>
      </x:c>
      <x:c r="X169" s="260">
        <x:f t="shared" si="259"/>
        <x:v>-404.98412670993184</x:v>
      </x:c>
      <x:c r="Y169" s="260">
        <x:f t="shared" si="260"/>
        <x:v>-77.664437434005663</x:v>
      </x:c>
      <x:c r="Z169" s="260">
        <x:f t="shared" si="261"/>
        <x:v>1076.2895179017071</x:v>
      </x:c>
      <x:c r="AA169" s="260">
        <x:f t="shared" si="262"/>
        <x:v>876.36993677338739</x:v>
      </x:c>
      <x:c r="AB169" s="260">
        <x:f t="shared" si="263"/>
        <x:v>-1644.3583769509082</x:v>
      </x:c>
      <x:c r="AC169" s="260">
        <x:f t="shared" si="264"/>
        <x:v>-1444.4387958225886</x:v>
      </x:c>
      <x:c r="AD169" s="260"/>
      <x:c r="AE169" s="282">
        <x:f t="shared" si="39"/>
        <x:v>0</x:v>
      </x:c>
      <x:c r="AF169" s="282">
        <x:f t="shared" si="10"/>
        <x:v>-1136.1377180984025</x:v>
      </x:c>
      <x:c r="AJ169" s="272">
        <x:f t="shared" si="244"/>
        <x:v>-215.25790358034143</x:v>
      </x:c>
      <x:c r="AK169" s="272">
        <x:f t="shared" si="245"/>
        <x:v>-87.636993677338751</x:v>
      </x:c>
      <x:c r="AL169" s="272">
        <x:f t="shared" si="246"/>
        <x:v>-164.43583769509084</x:v>
      </x:c>
      <x:c r="AM169" s="272">
        <x:f t="shared" si="247"/>
        <x:v>-288.88775916451772</x:v>
      </x:c>
      <x:c r="AN169" s="272">
        <x:f t="shared" si="248"/>
        <x:v>-193.29108343369197</x:v>
      </x:c>
      <x:c r="AO169" s="272">
        <x:f t="shared" si="249"/>
        <x:v>144.91039813123973</x:v>
      </x:c>
      <x:c r="AP169" s="272">
        <x:f t="shared" si="250"/>
        <x:v>40.49841267099319</x:v>
      </x:c>
      <x:c r="AQ169" s="272">
        <x:f t="shared" si="251"/>
        <x:v>15.532887486801133</x:v>
      </x:c>
      <x:c r="AR169" s="272"/>
      <x:c r="AS169" s="286">
        <x:f t="shared" si="32"/>
        <x:v>-756.21849411728886</x:v>
      </x:c>
      <x:c r="AT169" s="286">
        <x:f t="shared" si="33"/>
        <x:v>7.6506148553420878</x:v>
      </x:c>
      <x:c r="AY169" s="279">
        <x:f t="shared" si="252"/>
        <x:v>52.973741010362517</x:v>
      </x:c>
      <x:c r="AZ169" s="279">
        <x:f t="shared" si="253"/>
        <x:v>-52.973741010362517</x:v>
      </x:c>
      <x:c r="BA169" s="279">
        <x:f t="shared" si="254"/>
        <x:v>550.15333521301022</x:v>
      </x:c>
      <x:c r="BB169" s="279">
        <x:f t="shared" si="255"/>
        <x:v>550.15333521301022</x:v>
      </x:c>
      <x:c r="BC169" s="279"/>
      <x:c r="BD169" s="289">
        <x:f t="shared" si="265"/>
        <x:v>0</x:v>
      </x:c>
      <x:c r="BE169" s="289">
        <x:f t="shared" si="266"/>
        <x:v>1100.3066704260204</x:v>
      </x:c>
    </x:row>
    <x:row r="170" ht="15.75" customHeight="1">
      <x:c r="A170" s="21">
        <x:v>276</x:v>
      </x:c>
      <x:c r="B170" s="21">
        <x:f t="shared" si="19"/>
        <x:v>456</x:v>
      </x:c>
      <x:c r="C170" s="21">
        <x:f t="shared" si="0"/>
        <x:v>456</x:v>
      </x:c>
      <x:c r="D170" s="21">
        <x:f t="shared" si="20"/>
        <x:v>276</x:v>
      </x:c>
      <x:c r="E170" s="22" t="n">
        <x:f t="shared" ref="E170:H170" si="275">A170*PI()/180</x:f>
        <x:v>4.817108735504349</x:v>
      </x:c>
      <x:c r="F170" s="22">
        <x:f t="shared" si="275"/>
        <x:v>7.9587013890941423</x:v>
      </x:c>
      <x:c r="G170" s="22">
        <x:f t="shared" si="275"/>
        <x:v>7.9587013890941423</x:v>
      </x:c>
      <x:c r="H170" s="22">
        <x:f t="shared" si="275"/>
        <x:v>4.8171087355043491</x:v>
      </x:c>
      <x:c r="I170" s="23"/>
      <x:c r="J170" s="23"/>
      <x:c r="K170" s="23"/>
      <x:c r="L170" s="249">
        <x:f t="shared" si="236"/>
        <x:v>-1360.0480656606753</x:v>
      </x:c>
      <x:c r="M170" s="249">
        <x:f t="shared" si="237"/>
        <x:v>1360.0480656606753</x:v>
      </x:c>
      <x:c r="N170" s="249">
        <x:f t="shared" si="238"/>
        <x:v>1360.0480656606753</x:v>
      </x:c>
      <x:c r="O170" s="249">
        <x:f t="shared" si="239"/>
        <x:v>-1360.0480656606753</x:v>
      </x:c>
      <x:c r="P170" s="249">
        <x:f t="shared" si="240"/>
        <x:v>-341.71986626989366</x:v>
      </x:c>
      <x:c r="Q170" s="249">
        <x:f t="shared" si="241"/>
        <x:v>-1124.5467284264823</x:v>
      </x:c>
      <x:c r="R170" s="249">
        <x:f t="shared" si="242"/>
        <x:v>-1124.5467284264823</x:v>
      </x:c>
      <x:c r="S170" s="249">
        <x:f t="shared" si="243"/>
        <x:v>-341.71986626989366</x:v>
      </x:c>
      <x:c r="T170" s="23"/>
      <x:c r="U170" s="23"/>
      <x:c r="V170" s="260">
        <x:f t="shared" si="257"/>
        <x:v>-836.17585224777702</x:v>
      </x:c>
      <x:c r="W170" s="260">
        <x:f t="shared" si="258"/>
        <x:v>1559.4135676942838</x:v>
      </x:c>
      <x:c r="X170" s="260">
        <x:f t="shared" si="259"/>
        <x:v>-518.47784379722725</x:v>
      </x:c>
      <x:c r="Y170" s="260">
        <x:f t="shared" si="260"/>
        <x:v>-204.75987164927949</x:v>
      </x:c>
      <x:c r="Z170" s="260">
        <x:f t="shared" si="261"/>
        <x:v>1125.7500397639621</x:v>
      </x:c>
      <x:c r="AA170" s="260">
        <x:f t="shared" si="262"/>
        <x:v>826.17516920628566</x:v>
      </x:c>
      <x:c r="AB170" s="260">
        <x:f t="shared" si="263"/>
        <x:v>-1686.8659729846431</x:v>
      </x:c>
      <x:c r="AC170" s="260">
        <x:f t="shared" si="264"/>
        <x:v>-1387.2911024269667</x:v>
      </x:c>
      <x:c r="AD170" s="260"/>
      <x:c r="AE170" s="282">
        <x:f t="shared" si="39"/>
        <x:v>0</x:v>
      </x:c>
      <x:c r="AF170" s="282">
        <x:f t="shared" si="10"/>
        <x:v>-1122.2318664413622</x:v>
      </x:c>
      <x:c r="AJ170" s="272">
        <x:f t="shared" si="244"/>
        <x:v>-225.15000795279244</x:v>
      </x:c>
      <x:c r="AK170" s="272">
        <x:f t="shared" si="245"/>
        <x:v>-82.617516920628574</x:v>
      </x:c>
      <x:c r="AL170" s="272">
        <x:f t="shared" si="246"/>
        <x:v>-168.68659729846433</x:v>
      </x:c>
      <x:c r="AM170" s="272">
        <x:f t="shared" si="247"/>
        <x:v>-277.45822048539338</x:v>
      </x:c>
      <x:c r="AN170" s="272">
        <x:f t="shared" si="248"/>
        <x:v>-167.23517044955543</x:v>
      </x:c>
      <x:c r="AO170" s="272">
        <x:f t="shared" si="249"/>
        <x:v>155.94135676942838</x:v>
      </x:c>
      <x:c r="AP170" s="272">
        <x:f t="shared" si="250"/>
        <x:v>51.847784379722725</x:v>
      </x:c>
      <x:c r="AQ170" s="272">
        <x:f t="shared" si="251"/>
        <x:v>40.951974329855901</x:v>
      </x:c>
      <x:c r="AR170" s="272"/>
      <x:c r="AS170" s="286">
        <x:f t="shared" si="32"/>
        <x:v>-753.91234265727871</x:v>
      </x:c>
      <x:c r="AT170" s="286">
        <x:f t="shared" si="33"/>
        <x:v>81.505945029451581</x:v>
      </x:c>
      <x:c r="AY170" s="279">
        <x:f t="shared" si="252"/>
        <x:v>91.221456322741048</x:v>
      </x:c>
      <x:c r="AZ170" s="279">
        <x:f t="shared" si="253"/>
        <x:v>-91.221456322741048</x:v>
      </x:c>
      <x:c r="BA170" s="279">
        <x:f t="shared" si="254"/>
        <x:v>545.11792796512384</x:v>
      </x:c>
      <x:c r="BB170" s="279">
        <x:f t="shared" si="255"/>
        <x:v>545.11792796512384</x:v>
      </x:c>
      <x:c r="BC170" s="279"/>
      <x:c r="BD170" s="289">
        <x:f t="shared" si="265"/>
        <x:v>0</x:v>
      </x:c>
      <x:c r="BE170" s="289">
        <x:f t="shared" si="266"/>
        <x:v>1090.2358559302477</x:v>
      </x:c>
    </x:row>
    <x:row r="171" ht="15.75" customHeight="1">
      <x:c r="A171" s="21">
        <x:v>278</x:v>
      </x:c>
      <x:c r="B171" s="21">
        <x:f t="shared" si="19"/>
        <x:v>458</x:v>
      </x:c>
      <x:c r="C171" s="21">
        <x:f t="shared" si="0"/>
        <x:v>458</x:v>
      </x:c>
      <x:c r="D171" s="21">
        <x:f t="shared" si="20"/>
        <x:v>278</x:v>
      </x:c>
      <x:c r="E171" s="22" t="n">
        <x:f t="shared" ref="E171:H171" si="276">A171*PI()/180</x:f>
        <x:v>4.852015320544236</x:v>
      </x:c>
      <x:c r="F171" s="22">
        <x:f t="shared" si="276"/>
        <x:v>7.9936079741340285</x:v>
      </x:c>
      <x:c r="G171" s="22">
        <x:f t="shared" si="276"/>
        <x:v>7.9936079741340285</x:v>
      </x:c>
      <x:c r="H171" s="22">
        <x:f t="shared" si="276"/>
        <x:v>4.8520153205442362</x:v>
      </x:c>
      <x:c r="I171" s="23"/>
      <x:c r="J171" s="23"/>
      <x:c r="K171" s="23"/>
      <x:c r="L171" s="249">
        <x:f t="shared" si="236"/>
        <x:v>-1354.2307893369994</x:v>
      </x:c>
      <x:c r="M171" s="249">
        <x:f t="shared" si="237"/>
        <x:v>1354.2307893369994</x:v>
      </x:c>
      <x:c r="N171" s="249">
        <x:f t="shared" si="238"/>
        <x:v>1354.2307893369994</x:v>
      </x:c>
      <x:c r="O171" s="249">
        <x:f t="shared" si="239"/>
        <x:v>-1354.2307893369994</x:v>
      </x:c>
      <x:c r="P171" s="249">
        <x:f t="shared" si="240"/>
        <x:v>-199.33464570515252</x:v>
      </x:c>
      <x:c r="Q171" s="249">
        <x:f t="shared" si="241"/>
        <x:v>-1241.6195747603056</x:v>
      </x:c>
      <x:c r="R171" s="249">
        <x:f t="shared" si="242"/>
        <x:v>-1241.6195747603056</x:v>
      </x:c>
      <x:c r="S171" s="249">
        <x:f t="shared" si="243"/>
        <x:v>-199.33464570515252</x:v>
      </x:c>
      <x:c r="T171" s="23"/>
      <x:c r="U171" s="23"/>
      <x:c r="V171" s="260">
        <x:f t="shared" si="257"/>
        <x:v>-702.40288596534708</x:v>
      </x:c>
      <x:c r="W171" s="260">
        <x:f t="shared" si="258"/>
        <x:v>1665.3485989643814</x:v>
      </x:c>
      <x:c r="X171" s="260">
        <x:f t="shared" si="259"/>
        <x:v>-628.86522560844594</x:v>
      </x:c>
      <x:c r="Y171" s="260">
        <x:f t="shared" si="260"/>
        <x:v>-334.08048739058847</x:v>
      </x:c>
      <x:c r="Z171" s="260">
        <x:f t="shared" si="261"/>
        <x:v>1174.8640421573309</x:v>
      </x:c>
      <x:c r="AA171" s="260">
        <x:f t="shared" si="262"/>
        <x:v>775.99886800410081</x:v>
      </x:c>
      <x:c r="AB171" s="260">
        <x:f t="shared" si="263"/>
        <x:v>-1726.2933491260148</x:v>
      </x:c>
      <x:c r="AC171" s="260">
        <x:f t="shared" si="264"/>
        <x:v>-1327.4281749727847</x:v>
      </x:c>
      <x:c r="AD171" s="260"/>
      <x:c r="AE171" s="282">
        <x:f t="shared" si="39"/>
        <x:v>0</x:v>
      </x:c>
      <x:c r="AF171" s="282">
        <x:f t="shared" si="10"/>
        <x:v>-1102.8586139373679</x:v>
      </x:c>
      <x:c r="AJ171" s="272">
        <x:f t="shared" si="244"/>
        <x:v>-234.97280843146621</x:v>
      </x:c>
      <x:c r="AK171" s="272">
        <x:f t="shared" si="245"/>
        <x:v>-77.59988680041009</x:v>
      </x:c>
      <x:c r="AL171" s="272">
        <x:f t="shared" si="246"/>
        <x:v>-172.62933491260151</x:v>
      </x:c>
      <x:c r="AM171" s="272">
        <x:f t="shared" si="247"/>
        <x:v>-265.48563499455696</x:v>
      </x:c>
      <x:c r="AN171" s="272">
        <x:f t="shared" si="248"/>
        <x:v>-140.48057719306942</x:v>
      </x:c>
      <x:c r="AO171" s="272">
        <x:f t="shared" si="249"/>
        <x:v>166.53485989643815</x:v>
      </x:c>
      <x:c r="AP171" s="272">
        <x:f t="shared" si="250"/>
        <x:v>62.886522560844597</x:v>
      </x:c>
      <x:c r="AQ171" s="272">
        <x:f t="shared" si="251"/>
        <x:v>66.816097478117698</x:v>
      </x:c>
      <x:c r="AR171" s="272"/>
      <x:c r="AS171" s="286">
        <x:f t="shared" si="32"/>
        <x:v>-750.68766513903483</x:v>
      </x:c>
      <x:c r="AT171" s="286">
        <x:f t="shared" si="33"/>
        <x:v>155.75690274233102</x:v>
      </x:c>
      <x:c r="AY171" s="279">
        <x:f t="shared" si="252"/>
        <x:v>129.02474986946396</x:v>
      </x:c>
      <x:c r="AZ171" s="279">
        <x:f t="shared" si="253"/>
        <x:v>-129.02474986946396</x:v>
      </x:c>
      <x:c r="BA171" s="279">
        <x:f t="shared" si="254"/>
        <x:v>537.42676096725393</x:v>
      </x:c>
      <x:c r="BB171" s="279">
        <x:f t="shared" si="255"/>
        <x:v>537.42676096725393</x:v>
      </x:c>
      <x:c r="BC171" s="279"/>
      <x:c r="BD171" s="289">
        <x:f t="shared" si="265"/>
        <x:v>0</x:v>
      </x:c>
      <x:c r="BE171" s="289">
        <x:f t="shared" si="266"/>
        <x:v>1074.8535219345079</x:v>
      </x:c>
    </x:row>
    <x:row r="172" ht="15.75" customHeight="1">
      <x:c r="A172" s="21">
        <x:v>280</x:v>
      </x:c>
      <x:c r="B172" s="21">
        <x:f t="shared" si="19"/>
        <x:v>460</x:v>
      </x:c>
      <x:c r="C172" s="21">
        <x:f t="shared" si="0"/>
        <x:v>460</x:v>
      </x:c>
      <x:c r="D172" s="21">
        <x:f t="shared" si="20"/>
        <x:v>280</x:v>
      </x:c>
      <x:c r="E172" s="22" t="n">
        <x:f t="shared" ref="E172:H172" si="277">A172*PI()/180</x:f>
        <x:v>4.886921905584122</x:v>
      </x:c>
      <x:c r="F172" s="22">
        <x:f t="shared" si="277"/>
        <x:v>8.0285145591739155</x:v>
      </x:c>
      <x:c r="G172" s="22">
        <x:f t="shared" si="277"/>
        <x:v>8.0285145591739155</x:v>
      </x:c>
      <x:c r="H172" s="22">
        <x:f t="shared" si="277"/>
        <x:v>4.8869219055841224</x:v>
      </x:c>
      <x:c r="I172" s="23"/>
      <x:c r="J172" s="23"/>
      <x:c r="K172" s="23"/>
      <x:c r="L172" s="249">
        <x:f t="shared" si="236"/>
        <x:v>-1346.7635913997776</x:v>
      </x:c>
      <x:c r="M172" s="249">
        <x:f t="shared" si="237"/>
        <x:v>1346.7635913997776</x:v>
      </x:c>
      <x:c r="N172" s="249">
        <x:f t="shared" si="238"/>
        <x:v>1346.7635913997776</x:v>
      </x:c>
      <x:c r="O172" s="249">
        <x:f t="shared" si="239"/>
        <x:v>-1346.7635913997776</x:v>
      </x:c>
      <x:c r="P172" s="249">
        <x:f t="shared" si="240"/>
        <x:v>-54.074264898650995</x:v>
      </x:c>
      <x:c r="Q172" s="249">
        <x:f t="shared" si="241"/>
        <x:v>-1354.5473972179996</x:v>
      </x:c>
      <x:c r="R172" s="249">
        <x:f t="shared" si="242"/>
        <x:v>-1354.5473972179996</x:v>
      </x:c>
      <x:c r="S172" s="249">
        <x:f t="shared" si="243"/>
        <x:v>-54.074264898650995</x:v>
      </x:c>
      <x:c r="T172" s="23"/>
      <x:c r="U172" s="23"/>
      <x:c r="V172" s="260">
        <x:f t="shared" si="257"/>
        <x:v>-565.34222031665945</x:v>
      </x:c>
      <x:c r="W172" s="260">
        <x:f t="shared" si="258"/>
        <x:v>1766.822729847348</x:v>
      </x:c>
      <x:c r="X172" s="260">
        <x:f t="shared" si="259"/>
        <x:v>-736.05450236494335</x:v>
      </x:c>
      <x:c r="Y172" s="260">
        <x:f t="shared" si="260"/>
        <x:v>-465.42600716574515</x:v>
      </x:c>
      <x:c r="Z172" s="260">
        <x:f t="shared" si="261"/>
        <x:v>1223.5539919316134</x:v>
      </x:c>
      <x:c r="AA172" s="260">
        <x:f t="shared" si="262"/>
        <x:v>725.88446995706533</x:v>
      </x:c>
      <x:c r="AB172" s="260">
        <x:f t="shared" si="263"/>
        <x:v>-1762.610164494231</x:v>
      </x:c>
      <x:c r="AC172" s="260">
        <x:f t="shared" si="264"/>
        <x:v>-1264.940642519683</x:v>
      </x:c>
      <x:c r="AD172" s="260"/>
      <x:c r="AE172" s="282">
        <x:f t="shared" si="39"/>
        <x:v>0</x:v>
      </x:c>
      <x:c r="AF172" s="282">
        <x:f t="shared" si="10"/>
        <x:v>-1078.1123451252352</x:v>
      </x:c>
      <x:c r="AJ172" s="272">
        <x:f t="shared" si="244"/>
        <x:v>-244.71079838632269</x:v>
      </x:c>
      <x:c r="AK172" s="272">
        <x:f t="shared" si="245"/>
        <x:v>-72.588446995706533</x:v>
      </x:c>
      <x:c r="AL172" s="272">
        <x:f t="shared" si="246"/>
        <x:v>-176.2610164494231</x:v>
      </x:c>
      <x:c r="AM172" s="272">
        <x:f t="shared" si="247"/>
        <x:v>-252.98812850393662</x:v>
      </x:c>
      <x:c r="AN172" s="272">
        <x:f t="shared" si="248"/>
        <x:v>-113.0684440633319</x:v>
      </x:c>
      <x:c r="AO172" s="272">
        <x:f t="shared" si="249"/>
        <x:v>176.68227298473482</x:v>
      </x:c>
      <x:c r="AP172" s="272">
        <x:f t="shared" si="250"/>
        <x:v>73.605450236494335</x:v>
      </x:c>
      <x:c r="AQ172" s="272">
        <x:f t="shared" si="251"/>
        <x:v>93.085201433149038</x:v>
      </x:c>
      <x:c r="AR172" s="272"/>
      <x:c r="AS172" s="286">
        <x:f t="shared" si="32"/>
        <x:v>-746.54839033538894</x:v>
      </x:c>
      <x:c r="AT172" s="286">
        <x:f t="shared" si="33"/>
        <x:v>230.30448059104629</x:v>
      </x:c>
      <x:c r="AY172" s="279">
        <x:f t="shared" si="252"/>
        <x:v>166.19944780434628</x:v>
      </x:c>
      <x:c r="AZ172" s="279">
        <x:f t="shared" si="253"/>
        <x:v>-166.19944780434628</x:v>
      </x:c>
      <x:c r="BA172" s="279">
        <x:f t="shared" si="254"/>
        <x:v>527.11730481190057</x:v>
      </x:c>
      <x:c r="BB172" s="279">
        <x:f t="shared" si="255"/>
        <x:v>527.11730481190057</x:v>
      </x:c>
      <x:c r="BC172" s="279"/>
      <x:c r="BD172" s="289">
        <x:f t="shared" si="265"/>
        <x:v>0</x:v>
      </x:c>
      <x:c r="BE172" s="289">
        <x:f t="shared" si="266"/>
        <x:v>1054.2346096238011</x:v>
      </x:c>
    </x:row>
    <x:row r="173" ht="15.75" customHeight="1">
      <x:c r="A173" s="21">
        <x:v>282</x:v>
      </x:c>
      <x:c r="B173" s="21">
        <x:f t="shared" si="19"/>
        <x:v>462</x:v>
      </x:c>
      <x:c r="C173" s="21">
        <x:f t="shared" si="0"/>
        <x:v>462</x:v>
      </x:c>
      <x:c r="D173" s="21">
        <x:f t="shared" si="20"/>
        <x:v>282</x:v>
      </x:c>
      <x:c r="E173" s="22" t="n">
        <x:f t="shared" ref="E173:H173" si="278">A173*PI()/180</x:f>
        <x:v>4.921828490624009</x:v>
      </x:c>
      <x:c r="F173" s="22">
        <x:f t="shared" si="278"/>
        <x:v>8.0634211442138035</x:v>
      </x:c>
      <x:c r="G173" s="22">
        <x:f t="shared" si="278"/>
        <x:v>8.0634211442138035</x:v>
      </x:c>
      <x:c r="H173" s="22">
        <x:f t="shared" si="278"/>
        <x:v>4.9218284906240086</x:v>
      </x:c>
      <x:c r="I173" s="23"/>
      <x:c r="J173" s="23"/>
      <x:c r="K173" s="23"/>
      <x:c r="L173" s="249">
        <x:f t="shared" si="236"/>
        <x:v>-1337.6555694794636</x:v>
      </x:c>
      <x:c r="M173" s="249">
        <x:f t="shared" si="237"/>
        <x:v>1337.6555694794631</x:v>
      </x:c>
      <x:c r="N173" s="249">
        <x:f t="shared" si="238"/>
        <x:v>1337.6555694794631</x:v>
      </x:c>
      <x:c r="O173" s="249">
        <x:f t="shared" si="239"/>
        <x:v>-1337.6555694794636</x:v>
      </x:c>
      <x:c r="P173" s="249">
        <x:f t="shared" si="240"/>
        <x:v>93.825234385088493</x:v>
      </x:c>
      <x:c r="Q173" s="249">
        <x:f t="shared" si="241"/>
        <x:v>-1463.2516750092559</x:v>
      </x:c>
      <x:c r="R173" s="249">
        <x:f t="shared" si="242"/>
        <x:v>-1463.2516750092559</x:v>
      </x:c>
      <x:c r="S173" s="249">
        <x:f t="shared" si="243"/>
        <x:v>93.825234385088493</x:v>
      </x:c>
      <x:c r="T173" s="23"/>
      <x:c r="U173" s="23"/>
      <x:c r="V173" s="260">
        <x:f t="shared" si="257"/>
        <x:v>-425.21541096922255</x:v>
      </x:c>
      <x:c r="W173" s="260">
        <x:f t="shared" si="258"/>
        <x:v>1863.7668981045886</x:v>
      </x:c>
      <x:c r="X173" s="260">
        <x:f t="shared" si="259"/>
        <x:v>-839.96964880322878</x:v>
      </x:c>
      <x:c r="Y173" s="260">
        <x:f t="shared" si="260"/>
        <x:v>-598.58183833213752</x:v>
      </x:c>
      <x:c r="Z173" s="260">
        <x:f t="shared" si="261"/>
        <x:v>1271.7379649287504</x:v>
      </x:c>
      <x:c r="AA173" s="260">
        <x:f t="shared" si="262"/>
        <x:v>675.87042878529633</x:v>
      </x:c>
      <x:c r="AB173" s="260">
        <x:f t="shared" si="263"/>
        <x:v>-1795.7947755983143</x:v>
      </x:c>
      <x:c r="AC173" s="260">
        <x:f t="shared" si="264"/>
        <x:v>-1199.9272394548611</x:v>
      </x:c>
      <x:c r="AD173" s="260"/>
      <x:c r="AE173" s="282">
        <x:f t="shared" si="39"/>
        <x:v>0</x:v>
      </x:c>
      <x:c r="AF173" s="282">
        <x:f t="shared" si="10"/>
        <x:v>-1048.1136213391287</x:v>
      </x:c>
      <x:c r="AJ173" s="272">
        <x:f t="shared" si="244"/>
        <x:v>-254.34759298575011</x:v>
      </x:c>
      <x:c r="AK173" s="272">
        <x:f t="shared" si="245"/>
        <x:v>-67.58704287852963</x:v>
      </x:c>
      <x:c r="AL173" s="272">
        <x:f t="shared" si="246"/>
        <x:v>-179.57947755983145</x:v>
      </x:c>
      <x:c r="AM173" s="272">
        <x:f t="shared" si="247"/>
        <x:v>-239.98544789097224</x:v>
      </x:c>
      <x:c r="AN173" s="272">
        <x:f t="shared" si="248"/>
        <x:v>-85.043082193844512</x:v>
      </x:c>
      <x:c r="AO173" s="272">
        <x:f t="shared" si="249"/>
        <x:v>186.37668981045886</x:v>
      </x:c>
      <x:c r="AP173" s="272">
        <x:f t="shared" si="250"/>
        <x:v>83.996964880322878</x:v>
      </x:c>
      <x:c r="AQ173" s="272">
        <x:f t="shared" si="251"/>
        <x:v>119.71636766642752</x:v>
      </x:c>
      <x:c r="AR173" s="272"/>
      <x:c r="AS173" s="286">
        <x:f t="shared" si="32"/>
        <x:v>-741.49956131508338</x:v>
      </x:c>
      <x:c r="AT173" s="286">
        <x:f t="shared" si="33"/>
        <x:v>305.04694016336475</x:v>
      </x:c>
      <x:c r="AY173" s="279">
        <x:f t="shared" si="252"/>
        <x:v>202.56443873583493</x:v>
      </x:c>
      <x:c r="AZ173" s="279">
        <x:f t="shared" si="253"/>
        <x:v>-202.56443873583493</x:v>
      </x:c>
      <x:c r="BA173" s="279">
        <x:f t="shared" si="254"/>
        <x:v>514.23978613315001</x:v>
      </x:c>
      <x:c r="BB173" s="279">
        <x:f t="shared" si="255"/>
        <x:v>514.23978613315001</x:v>
      </x:c>
      <x:c r="BC173" s="279"/>
      <x:c r="BD173" s="289">
        <x:f t="shared" si="265"/>
        <x:v>0</x:v>
      </x:c>
      <x:c r="BE173" s="289">
        <x:f t="shared" si="266"/>
        <x:v>1028.4795722663</x:v>
      </x:c>
    </x:row>
    <x:row r="174" ht="15.75" customHeight="1">
      <x:c r="A174" s="21">
        <x:v>284</x:v>
      </x:c>
      <x:c r="B174" s="21">
        <x:f t="shared" si="19"/>
        <x:v>464</x:v>
      </x:c>
      <x:c r="C174" s="21">
        <x:f t="shared" si="0"/>
        <x:v>464</x:v>
      </x:c>
      <x:c r="D174" s="21">
        <x:f t="shared" si="20"/>
        <x:v>284</x:v>
      </x:c>
      <x:c r="E174" s="22" t="n">
        <x:f t="shared" ref="E174:H174" si="279">A174*PI()/180</x:f>
        <x:v>4.956735075663896</x:v>
      </x:c>
      <x:c r="F174" s="22">
        <x:f t="shared" si="279"/>
        <x:v>8.0983277292536897</x:v>
      </x:c>
      <x:c r="G174" s="22">
        <x:f t="shared" si="279"/>
        <x:v>8.0983277292536897</x:v>
      </x:c>
      <x:c r="H174" s="22">
        <x:f t="shared" si="279"/>
        <x:v>4.9567350756638957</x:v>
      </x:c>
      <x:c r="I174" s="23"/>
      <x:c r="J174" s="23"/>
      <x:c r="K174" s="23"/>
      <x:c r="L174" s="249">
        <x:f t="shared" si="236"/>
        <x:v>-1326.9178202977832</x:v>
      </x:c>
      <x:c r="M174" s="249">
        <x:f t="shared" si="237"/>
        <x:v>1326.9178202977828</x:v>
      </x:c>
      <x:c r="N174" s="249">
        <x:f t="shared" si="238"/>
        <x:v>1326.9178202977828</x:v>
      </x:c>
      <x:c r="O174" s="249">
        <x:f t="shared" si="239"/>
        <x:v>-1326.9178202977832</x:v>
      </x:c>
      <x:c r="P174" s="249">
        <x:f t="shared" si="240"/>
        <x:v>244.1120584686671</x:v>
      </x:c>
      <x:c r="Q174" s="249">
        <x:f t="shared" si="241"/>
        <x:v>-1567.671569635886</x:v>
      </x:c>
      <x:c r="R174" s="249">
        <x:f t="shared" si="242"/>
        <x:v>-1567.671569635886</x:v>
      </x:c>
      <x:c r="S174" s="249">
        <x:f t="shared" si="243"/>
        <x:v>244.1120584686671</x:v>
      </x:c>
      <x:c r="T174" s="23"/>
      <x:c r="U174" s="23"/>
      <x:c r="V174" s="260">
        <x:f t="shared" si="257"/>
        <x:v>-282.25933147955914</x:v>
      </x:c>
      <x:c r="W174" s="260">
        <x:f t="shared" si="258"/>
        <x:v>1956.1291428243965</x:v>
      </x:c>
      <x:c r="X174" s="260">
        <x:f t="shared" si="259"/>
        <x:v>-940.55021094847848</x:v>
      </x:c>
      <x:c r="Y174" s="260">
        <x:f t="shared" si="260"/>
        <x:v>-733.31960039635919</x:v>
      </x:c>
      <x:c r="Z174" s="260">
        <x:f t="shared" si="261"/>
        <x:v>1319.3298559141087</x:v>
      </x:c>
      <x:c r="AA174" s="260">
        <x:f t="shared" si="262"/>
        <x:v>625.99027840818235</x:v>
      </x:c>
      <x:c r="AB174" s="260">
        <x:f t="shared" si="263"/>
        <x:v>-1825.8341525870401</x:v>
      </x:c>
      <x:c r="AC174" s="260">
        <x:f t="shared" si="264"/>
        <x:v>-1132.4945750811146</x:v>
      </x:c>
      <x:c r="AD174" s="260"/>
      <x:c r="AE174" s="282">
        <x:f t="shared" si="39"/>
        <x:v>0</x:v>
      </x:c>
      <x:c r="AF174" s="282">
        <x:f t="shared" si="10"/>
        <x:v>-1013.0085933458636</x:v>
      </x:c>
      <x:c r="AJ174" s="272">
        <x:f t="shared" si="244"/>
        <x:v>-263.86597118282174</x:v>
      </x:c>
      <x:c r="AK174" s="272">
        <x:f t="shared" si="245"/>
        <x:v>-62.599027840818238</x:v>
      </x:c>
      <x:c r="AL174" s="272">
        <x:f t="shared" si="246"/>
        <x:v>-182.58341525870401</x:v>
      </x:c>
      <x:c r="AM174" s="272">
        <x:f t="shared" si="247"/>
        <x:v>-226.49891501622292</x:v>
      </x:c>
      <x:c r="AN174" s="272">
        <x:f t="shared" si="248"/>
        <x:v>-56.451866295911827</x:v>
      </x:c>
      <x:c r="AO174" s="272">
        <x:f t="shared" si="249"/>
        <x:v>195.61291428243965</x:v>
      </x:c>
      <x:c r="AP174" s="272">
        <x:f t="shared" si="250"/>
        <x:v>94.055021094847859</x:v>
      </x:c>
      <x:c r="AQ174" s="272">
        <x:f t="shared" si="251"/>
        <x:v>146.66392007927183</x:v>
      </x:c>
      <x:c r="AR174" s="272"/>
      <x:c r="AS174" s="286">
        <x:f t="shared" si="32"/>
        <x:v>-735.54732929856686</x:v>
      </x:c>
      <x:c r="AT174" s="286">
        <x:f t="shared" si="33"/>
        <x:v>379.87998916064748</x:v>
      </x:c>
      <x:c r="AY174" s="279">
        <x:f t="shared" si="252"/>
        <x:v>237.94255608350971</x:v>
      </x:c>
      <x:c r="AZ174" s="279">
        <x:f t="shared" si="253"/>
        <x:v>-237.94255608350971</x:v>
      </x:c>
      <x:c r="BA174" s="279">
        <x:f t="shared" si="254"/>
        <x:v>498.85694290756095</x:v>
      </x:c>
      <x:c r="BB174" s="279">
        <x:f t="shared" si="255"/>
        <x:v>498.85694290756095</x:v>
      </x:c>
      <x:c r="BC174" s="279"/>
      <x:c r="BD174" s="289">
        <x:f t="shared" si="265"/>
        <x:v>0</x:v>
      </x:c>
      <x:c r="BE174" s="289">
        <x:f t="shared" si="266"/>
        <x:v>997.7138858151219</x:v>
      </x:c>
    </x:row>
    <x:row r="175" ht="15.75" customHeight="1">
      <x:c r="A175" s="21">
        <x:v>286</x:v>
      </x:c>
      <x:c r="B175" s="21">
        <x:f t="shared" si="19"/>
        <x:v>466</x:v>
      </x:c>
      <x:c r="C175" s="21">
        <x:f t="shared" si="0"/>
        <x:v>466</x:v>
      </x:c>
      <x:c r="D175" s="21">
        <x:f t="shared" si="20"/>
        <x:v>286</x:v>
      </x:c>
      <x:c r="E175" s="22" t="n">
        <x:f t="shared" ref="E175:H175" si="280">A175*PI()/180</x:f>
        <x:v>4.991641660703783</x:v>
      </x:c>
      <x:c r="F175" s="22">
        <x:f t="shared" si="280"/>
        <x:v>8.1332343142935759</x:v>
      </x:c>
      <x:c r="G175" s="22">
        <x:f t="shared" si="280"/>
        <x:v>8.1332343142935759</x:v>
      </x:c>
      <x:c r="H175" s="22">
        <x:f t="shared" si="280"/>
        <x:v>4.9916416607037828</x:v>
      </x:c>
      <x:c r="I175" s="23"/>
      <x:c r="J175" s="23"/>
      <x:c r="K175" s="23"/>
      <x:c r="L175" s="249">
        <x:f t="shared" si="236"/>
        <x:v>-1314.5634261480909</x:v>
      </x:c>
      <x:c r="M175" s="249">
        <x:f t="shared" si="237"/>
        <x:v>1314.5634261480911</x:v>
      </x:c>
      <x:c r="N175" s="249">
        <x:f t="shared" si="238"/>
        <x:v>1314.5634261480911</x:v>
      </x:c>
      <x:c r="O175" s="249">
        <x:f t="shared" si="239"/>
        <x:v>-1314.5634261480909</x:v>
      </x:c>
      <x:c r="P175" s="249">
        <x:f t="shared" si="240"/>
        <x:v>396.5193173660947</x:v>
      </x:c>
      <x:c r="Q175" s="249">
        <x:f t="shared" si="241"/>
        <x:v>-1667.7636501816951</x:v>
      </x:c>
      <x:c r="R175" s="249">
        <x:f t="shared" si="242"/>
        <x:v>-1667.7636501816951</x:v>
      </x:c>
      <x:c r="S175" s="249">
        <x:f t="shared" si="243"/>
        <x:v>396.5193173660947</x:v>
      </x:c>
      <x:c r="T175" s="23"/>
      <x:c r="U175" s="23"/>
      <x:c r="V175" s="260">
        <x:f t="shared" si="257"/>
        <x:v>-136.72556242008159</x:v>
      </x:c>
      <x:c r="W175" s="260">
        <x:f t="shared" si="258"/>
        <x:v>2043.8743454491455</x:v>
      </x:c>
      <x:c r="X175" s="260">
        <x:f t="shared" si="259"/>
        <x:v>-1037.7510574892176</x:v>
      </x:c>
      <x:c r="Y175" s="260">
        <x:f t="shared" si="260"/>
        <x:v>-869.39772553984585</x:v>
      </x:c>
      <x:c r="Z175" s="260">
        <x:f t="shared" si="261"/>
        <x:v>1366.2396169748531</x:v>
      </x:c>
      <x:c r="AA175" s="260">
        <x:f t="shared" si="262"/>
        <x:v>576.27272558087179</x:v>
      </x:c>
      <x:c r="AB175" s="260">
        <x:f t="shared" si="263"/>
        <x:v>-1852.723761631396</x:v>
      </x:c>
      <x:c r="AC175" s="260">
        <x:f t="shared" si="264"/>
        <x:v>-1062.7568702374142</x:v>
      </x:c>
      <x:c r="AD175" s="260"/>
      <x:c r="AE175" s="282">
        <x:f t="shared" si="39"/>
        <x:v>0</x:v>
      </x:c>
      <x:c r="AF175" s="282">
        <x:f t="shared" si="10"/>
        <x:v>-972.96828931308528</x:v>
      </x:c>
      <x:c r="AJ175" s="272">
        <x:f t="shared" si="244"/>
        <x:v>-273.24792339497066</x:v>
      </x:c>
      <x:c r="AK175" s="272">
        <x:f t="shared" si="245"/>
        <x:v>-57.627272558087185</x:v>
      </x:c>
      <x:c r="AL175" s="272">
        <x:f t="shared" si="246"/>
        <x:v>-185.2723761631396</x:v>
      </x:c>
      <x:c r="AM175" s="272">
        <x:f t="shared" si="247"/>
        <x:v>-212.55137404748285</x:v>
      </x:c>
      <x:c r="AN175" s="272">
        <x:f t="shared" si="248"/>
        <x:v>-27.345112484016319</x:v>
      </x:c>
      <x:c r="AO175" s="272">
        <x:f t="shared" si="249"/>
        <x:v>204.38743454491456</x:v>
      </x:c>
      <x:c r="AP175" s="272">
        <x:f t="shared" si="250"/>
        <x:v>103.77510574892176</x:v>
      </x:c>
      <x:c r="AQ175" s="272">
        <x:f t="shared" si="251"/>
        <x:v>173.87954510796919</x:v>
      </x:c>
      <x:c r="AR175" s="272"/>
      <x:c r="AS175" s="286">
        <x:f t="shared" si="32"/>
        <x:v>-728.69894616368038</x:v>
      </x:c>
      <x:c r="AT175" s="286">
        <x:f t="shared" si="33"/>
        <x:v>454.6969729177892</x:v>
      </x:c>
      <x:c r="AY175" s="279">
        <x:f t="shared" si="252"/>
        <x:v>272.16144121584682</x:v>
      </x:c>
      <x:c r="AZ175" s="279">
        <x:f t="shared" si="253"/>
        <x:v>-272.16144121584682</x:v>
      </x:c>
      <x:c r="BA175" s="279">
        <x:f t="shared" si="254"/>
        <x:v>481.04371880105123</x:v>
      </x:c>
      <x:c r="BB175" s="279">
        <x:f t="shared" si="255"/>
        <x:v>481.04371880105123</x:v>
      </x:c>
      <x:c r="BC175" s="279"/>
      <x:c r="BD175" s="289">
        <x:f t="shared" si="265"/>
        <x:v>0</x:v>
      </x:c>
      <x:c r="BE175" s="289">
        <x:f t="shared" si="266"/>
        <x:v>962.08743760210245</x:v>
      </x:c>
    </x:row>
    <x:row r="176" ht="15.75" customHeight="1">
      <x:c r="A176" s="21">
        <x:v>288</x:v>
      </x:c>
      <x:c r="B176" s="21">
        <x:f t="shared" si="19"/>
        <x:v>468</x:v>
      </x:c>
      <x:c r="C176" s="21">
        <x:f t="shared" si="0"/>
        <x:v>468</x:v>
      </x:c>
      <x:c r="D176" s="21">
        <x:f t="shared" si="20"/>
        <x:v>288</x:v>
      </x:c>
      <x:c r="E176" s="22" t="n">
        <x:f t="shared" ref="E176:H176" si="281">A176*PI()/180</x:f>
        <x:v>5.026548245743669</x:v>
      </x:c>
      <x:c r="F176" s="22">
        <x:f t="shared" si="281"/>
        <x:v>8.1681408993334621</x:v>
      </x:c>
      <x:c r="G176" s="22">
        <x:f t="shared" si="281"/>
        <x:v>8.1681408993334621</x:v>
      </x:c>
      <x:c r="H176" s="22">
        <x:f t="shared" si="281"/>
        <x:v>5.026548245743669</x:v>
      </x:c>
      <x:c r="I176" s="23"/>
      <x:c r="J176" s="23"/>
      <x:c r="K176" s="23"/>
      <x:c r="L176" s="249">
        <x:f t="shared" si="236"/>
        <x:v>-1300.6074389566106</x:v>
      </x:c>
      <x:c r="M176" s="249">
        <x:f t="shared" si="237"/>
        <x:v>1300.6074389566106</x:v>
      </x:c>
      <x:c r="N176" s="249">
        <x:f t="shared" si="238"/>
        <x:v>1300.6074389566106</x:v>
      </x:c>
      <x:c r="O176" s="249">
        <x:f t="shared" si="239"/>
        <x:v>-1300.6074389566106</x:v>
      </x:c>
      <x:c r="P176" s="249">
        <x:f t="shared" si="240"/>
        <x:v>550.76575815696924</x:v>
      </x:c>
      <x:c r="Q176" s="249">
        <x:f t="shared" si="241"/>
        <x:v>-1763.5015380165114</x:v>
      </x:c>
      <x:c r="R176" s="249">
        <x:f t="shared" si="242"/>
        <x:v>-1763.5015380165114</x:v>
      </x:c>
      <x:c r="S176" s="249">
        <x:f t="shared" si="243"/>
        <x:v>550.76575815696924</x:v>
      </x:c>
      <x:c r="T176" s="23"/>
      <x:c r="U176" s="23"/>
      <x:c r="V176" s="260">
        <x:f t="shared" si="257"/>
        <x:v>11.120292269800359</x:v>
      </x:c>
      <x:c r="W176" s="260">
        <x:f t="shared" si="258"/>
        <x:v>2126.9838954251145</x:v>
      </x:c>
      <x:c r="X176" s="260">
        <x:f t="shared" si="259"/>
        <x:v>-1131.5420576261449</x:v>
      </x:c>
      <x:c r="Y176" s="260">
        <x:f t="shared" si="260"/>
        <x:v>-1006.5621300687699</x:v>
      </x:c>
      <x:c r="Z176" s="260">
        <x:f t="shared" si="261"/>
        <x:v>1412.3735234446053</x:v>
      </x:c>
      <x:c r="AA176" s="260">
        <x:f t="shared" si="262"/>
        <x:v>526.7417711346618</x:v>
      </x:c>
      <x:c r="AB176" s="260">
        <x:f t="shared" si="263"/>
        <x:v>-1876.467414233209</x:v>
      </x:c>
      <x:c r="AC176" s="260">
        <x:f t="shared" si="264"/>
        <x:v>-990.83566192326543</x:v>
      </x:c>
      <x:c r="AD176" s="260"/>
      <x:c r="AE176" s="282">
        <x:f t="shared" si="39"/>
        <x:v>0</x:v>
      </x:c>
      <x:c r="AF176" s="282">
        <x:f t="shared" si="10"/>
        <x:v>-928.18778157720726</x:v>
      </x:c>
      <x:c r="AJ176" s="272">
        <x:f t="shared" si="244"/>
        <x:v>-282.47470468892107</x:v>
      </x:c>
      <x:c r="AK176" s="272">
        <x:f t="shared" si="245"/>
        <x:v>-52.674177113466186</x:v>
      </x:c>
      <x:c r="AL176" s="272">
        <x:f t="shared" si="246"/>
        <x:v>-187.64674142332092</x:v>
      </x:c>
      <x:c r="AM176" s="272">
        <x:f t="shared" si="247"/>
        <x:v>-198.16713238465309</x:v>
      </x:c>
      <x:c r="AN176" s="272">
        <x:f t="shared" si="248"/>
        <x:v>2.2240584539600721</x:v>
      </x:c>
      <x:c r="AO176" s="272">
        <x:f t="shared" si="249"/>
        <x:v>212.69838954251145</x:v>
      </x:c>
      <x:c r="AP176" s="272">
        <x:f t="shared" si="250"/>
        <x:v>113.1542057626145</x:v>
      </x:c>
      <x:c r="AQ176" s="272">
        <x:f t="shared" si="251"/>
        <x:v>201.31242601375399</x:v>
      </x:c>
      <x:c r="AR176" s="272"/>
      <x:c r="AS176" s="286">
        <x:f t="shared" si="32"/>
        <x:v>-720.96275561036123</x:v>
      </x:c>
      <x:c r="AT176" s="286">
        <x:f t="shared" si="33"/>
        <x:v>529.38907977283998</x:v>
      </x:c>
      <x:c r="AY176" s="279">
        <x:f t="shared" si="252"/>
        <x:v>305.05438316415359</x:v>
      </x:c>
      <x:c r="AZ176" s="279">
        <x:f t="shared" si="253"/>
        <x:v>-305.05438316415359</x:v>
      </x:c>
      <x:c r="BA176" s="279">
        <x:f t="shared" si="254"/>
        <x:v>460.88689805088785</x:v>
      </x:c>
      <x:c r="BB176" s="279">
        <x:f t="shared" si="255"/>
        <x:v>460.88689805088785</x:v>
      </x:c>
      <x:c r="BC176" s="279"/>
      <x:c r="BD176" s="289">
        <x:f t="shared" si="265"/>
        <x:v>0</x:v>
      </x:c>
      <x:c r="BE176" s="289">
        <x:f t="shared" si="266"/>
        <x:v>921.7737961017757</x:v>
      </x:c>
    </x:row>
    <x:row r="177" ht="15.75" customHeight="1">
      <x:c r="A177" s="21">
        <x:v>290</x:v>
      </x:c>
      <x:c r="B177" s="21">
        <x:f t="shared" si="19"/>
        <x:v>470</x:v>
      </x:c>
      <x:c r="C177" s="21">
        <x:f t="shared" si="0"/>
        <x:v>470</x:v>
      </x:c>
      <x:c r="D177" s="21">
        <x:f t="shared" si="20"/>
        <x:v>290</x:v>
      </x:c>
      <x:c r="E177" s="22" t="n">
        <x:f t="shared" ref="E177:H177" si="282">A177*PI()/180</x:f>
        <x:v>5.061454830783555</x:v>
      </x:c>
      <x:c r="F177" s="22">
        <x:f t="shared" si="282"/>
        <x:v>8.2030474843733483</x:v>
      </x:c>
      <x:c r="G177" s="22">
        <x:f t="shared" si="282"/>
        <x:v>8.2030474843733483</x:v>
      </x:c>
      <x:c r="H177" s="22">
        <x:f t="shared" si="282"/>
        <x:v>5.0614548307835552</x:v>
      </x:c>
      <x:c r="I177" s="23"/>
      <x:c r="J177" s="23"/>
      <x:c r="K177" s="23"/>
      <x:c r="L177" s="249">
        <x:f t="shared" si="236"/>
        <x:v>-1285.0668619439791</x:v>
      </x:c>
      <x:c r="M177" s="249">
        <x:f t="shared" si="237"/>
        <x:v>1285.0668619439793</x:v>
      </x:c>
      <x:c r="N177" s="249">
        <x:f t="shared" si="238"/>
        <x:v>1285.0668619439793</x:v>
      </x:c>
      <x:c r="O177" s="249">
        <x:f t="shared" si="239"/>
        <x:v>-1285.0668619439791</x:v>
      </x:c>
      <x:c r="P177" s="249">
        <x:f t="shared" si="240"/>
        <x:v>706.5565732482753</x:v>
      </x:c>
      <x:c r="Q177" s="249">
        <x:f t="shared" si="241"/>
        <x:v>-1854.8754733360572</x:v>
      </x:c>
      <x:c r="R177" s="249">
        <x:f t="shared" si="242"/>
        <x:v>-1854.8754733360572</x:v>
      </x:c>
      <x:c r="S177" s="249">
        <x:f t="shared" si="243"/>
        <x:v>706.5565732482753</x:v>
      </x:c>
      <x:c r="T177" s="23"/>
      <x:c r="U177" s="23"/>
      <x:c r="V177" s="260">
        <x:f t="shared" si="257"/>
        <x:v>160.99935903803629</x:v>
      </x:c>
      <x:c r="W177" s="260">
        <x:f t="shared" si="258"/>
        <x:v>2205.4552827197253</x:v>
      </x:c>
      <x:c r="X177" s="260">
        <x:f t="shared" si="259"/>
        <x:v>-1221.907687625011</x:v>
      </x:c>
      <x:c r="Y177" s="260">
        <x:f t="shared" si="260"/>
        <x:v>-1144.5469541327502</x:v>
      </x:c>
      <x:c r="Z177" s="260">
        <x:f t="shared" si="261"/>
        <x:v>1457.6344662693157</x:v>
      </x:c>
      <x:c r="AA177" s="260">
        <x:f t="shared" si="262"/>
        <x:v>477.41685891248687</x:v>
      </x:c>
      <x:c r="AB177" s="260">
        <x:f t="shared" si="263"/>
        <x:v>-1897.0770844046128</x:v>
      </x:c>
      <x:c r="AC177" s="260">
        <x:f t="shared" si="264"/>
        <x:v>-916.85947704778368</x:v>
      </x:c>
      <x:c r="AD177" s="260"/>
      <x:c r="AE177" s="282">
        <x:f t="shared" si="39"/>
        <x:v>0</x:v>
      </x:c>
      <x:c r="AF177" s="282">
        <x:f t="shared" si="10"/>
        <x:v>-878.88523627059408</x:v>
      </x:c>
      <x:c r="AJ177" s="272">
        <x:f t="shared" si="244"/>
        <x:v>-291.52689325386314</x:v>
      </x:c>
      <x:c r="AK177" s="272">
        <x:f t="shared" si="245"/>
        <x:v>-47.741685891248693</x:v>
      </x:c>
      <x:c r="AL177" s="272">
        <x:f t="shared" si="246"/>
        <x:v>-189.70770844046129</x:v>
      </x:c>
      <x:c r="AM177" s="272">
        <x:f t="shared" si="247"/>
        <x:v>-183.37189540955674</x:v>
      </x:c>
      <x:c r="AN177" s="272">
        <x:f t="shared" si="248"/>
        <x:v>32.199871807607259</x:v>
      </x:c>
      <x:c r="AO177" s="272">
        <x:f t="shared" si="249"/>
        <x:v>220.54552827197256</x:v>
      </x:c>
      <x:c r="AP177" s="272">
        <x:f t="shared" si="250"/>
        <x:v>122.19076876250111</x:v>
      </x:c>
      <x:c r="AQ177" s="272">
        <x:f t="shared" si="251"/>
        <x:v>228.90939082655007</x:v>
      </x:c>
      <x:c r="AR177" s="272"/>
      <x:c r="AS177" s="286">
        <x:f t="shared" si="32"/>
        <x:v>-712.34818299512983</x:v>
      </x:c>
      <x:c r="AT177" s="286">
        <x:f t="shared" si="33"/>
        <x:v>603.84555966863104</x:v>
      </x:c>
      <x:c r="AY177" s="279">
        <x:f t="shared" si="252"/>
        <x:v>336.46113082164317</x:v>
      </x:c>
      <x:c r="AZ177" s="279">
        <x:f t="shared" si="253"/>
        <x:v>-336.46113082164317</x:v>
      </x:c>
      <x:c r="BA177" s="279">
        <x:f t="shared" si="254"/>
        <x:v>438.48468266160995</x:v>
      </x:c>
      <x:c r="BB177" s="279">
        <x:f t="shared" si="255"/>
        <x:v>438.48468266160995</x:v>
      </x:c>
      <x:c r="BC177" s="279"/>
      <x:c r="BD177" s="289">
        <x:f t="shared" si="265"/>
        <x:v>0</x:v>
      </x:c>
      <x:c r="BE177" s="289">
        <x:f t="shared" si="266"/>
        <x:v>876.9693653232199</x:v>
      </x:c>
    </x:row>
    <x:row r="178" ht="15.75" customHeight="1">
      <x:c r="A178" s="21">
        <x:v>292</x:v>
      </x:c>
      <x:c r="B178" s="21">
        <x:f t="shared" si="19"/>
        <x:v>472</x:v>
      </x:c>
      <x:c r="C178" s="21">
        <x:f t="shared" si="0"/>
        <x:v>472</x:v>
      </x:c>
      <x:c r="D178" s="21">
        <x:f t="shared" si="20"/>
        <x:v>292</x:v>
      </x:c>
      <x:c r="E178" s="22" t="n">
        <x:f t="shared" ref="E178:H178" si="283">A178*PI()/180</x:f>
        <x:v>5.096361415823442</x:v>
      </x:c>
      <x:c r="F178" s="22">
        <x:f t="shared" si="283"/>
        <x:v>8.2379540694132345</x:v>
      </x:c>
      <x:c r="G178" s="22">
        <x:f t="shared" si="283"/>
        <x:v>8.2379540694132345</x:v>
      </x:c>
      <x:c r="H178" s="22">
        <x:f t="shared" si="283"/>
        <x:v>5.0963614158234423</x:v>
      </x:c>
      <x:c r="I178" s="23"/>
      <x:c r="J178" s="23"/>
      <x:c r="K178" s="23"/>
      <x:c r="L178" s="249">
        <x:f t="shared" si="236"/>
        <x:v>-1267.960628909444</x:v>
      </x:c>
      <x:c r="M178" s="249">
        <x:f t="shared" si="237"/>
        <x:v>1267.9606289094445</x:v>
      </x:c>
      <x:c r="N178" s="249">
        <x:f t="shared" si="238"/>
        <x:v>1267.9606289094445</x:v>
      </x:c>
      <x:c r="O178" s="249">
        <x:f t="shared" si="239"/>
        <x:v>-1267.960628909444</x:v>
      </x:c>
      <x:c r="P178" s="249">
        <x:f t="shared" si="240"/>
        <x:v>863.58428027069192</x:v>
      </x:c>
      <x:c r="Q178" s="249">
        <x:f t="shared" si="241"/>
        <x:v>-1941.8918063340946</x:v>
      </x:c>
      <x:c r="R178" s="249">
        <x:f t="shared" si="242"/>
        <x:v>-1941.8918063340946</x:v>
      </x:c>
      <x:c r="S178" s="249">
        <x:f t="shared" si="243"/>
        <x:v>863.58428027069192</x:v>
      </x:c>
      <x:c r="T178" s="23"/>
      <x:c r="U178" s="23"/>
      <x:c r="V178" s="260">
        <x:f t="shared" si="257"/>
        <x:v>312.6203155657189</x:v>
      </x:c>
      <x:c r="W178" s="260">
        <x:f t="shared" si="258"/>
        <x:v>2279.3016197983056</x:v>
      </x:c>
      <x:c r="X178" s="260">
        <x:f t="shared" si="259"/>
        <x:v>-1308.8465686485774</x:v>
      </x:c>
      <x:c r="Y178" s="260">
        <x:f t="shared" si="260"/>
        <x:v>-1283.0753667154468</x:v>
      </x:c>
      <x:c r="Z178" s="260">
        <x:f t="shared" si="261"/>
        <x:v>1501.9222695900985</x:v>
      </x:c>
      <x:c r="AA178" s="260">
        <x:f t="shared" si="262"/>
        <x:v>428.313051349999</x:v>
      </x:c>
      <x:c r="AB178" s="260">
        <x:f t="shared" si="263"/>
        <x:v>-1914.5726948091501</x:v>
      </x:c>
      <x:c r="AC178" s="260">
        <x:f t="shared" si="264"/>
        <x:v>-840.96347656905027</x:v>
      </x:c>
      <x:c r="AD178" s="260"/>
      <x:c r="AE178" s="282">
        <x:f t="shared" si="39"/>
        <x:v>0</x:v>
      </x:c>
      <x:c r="AF178" s="282">
        <x:f t="shared" si="10"/>
        <x:v>-825.30085043810277</x:v>
      </x:c>
      <x:c r="AJ178" s="272">
        <x:f t="shared" si="244"/>
        <x:v>-300.38445391801969</x:v>
      </x:c>
      <x:c r="AK178" s="272">
        <x:f t="shared" si="245"/>
        <x:v>-42.831305134999901</x:v>
      </x:c>
      <x:c r="AL178" s="272">
        <x:f t="shared" si="246"/>
        <x:v>-191.45726948091502</x:v>
      </x:c>
      <x:c r="AM178" s="272">
        <x:f t="shared" si="247"/>
        <x:v>-168.19269531381008</x:v>
      </x:c>
      <x:c r="AN178" s="272">
        <x:f t="shared" si="248"/>
        <x:v>62.524063113143782</x:v>
      </x:c>
      <x:c r="AO178" s="272">
        <x:f t="shared" si="249"/>
        <x:v>227.93016197983059</x:v>
      </x:c>
      <x:c r="AP178" s="272">
        <x:f t="shared" si="250"/>
        <x:v>130.88465686485776</x:v>
      </x:c>
      <x:c r="AQ178" s="272">
        <x:f t="shared" si="251"/>
        <x:v>256.61507334308936</x:v>
      </x:c>
      <x:c r="AR178" s="272"/>
      <x:c r="AS178" s="286">
        <x:f t="shared" si="32"/>
        <x:v>-702.86572384774468</x:v>
      </x:c>
      <x:c r="AT178" s="286">
        <x:f t="shared" si="33"/>
        <x:v>677.95395530092151</x:v>
      </x:c>
      <x:c r="AY178" s="279">
        <x:f t="shared" si="252"/>
        <x:v>366.22867367072507</x:v>
      </x:c>
      <x:c r="AZ178" s="279">
        <x:f t="shared" si="253"/>
        <x:v>-366.22867367072507</x:v>
      </x:c>
      <x:c r="BA178" s="279">
        <x:f t="shared" si="254"/>
        <x:v>413.94621397473037</x:v>
      </x:c>
      <x:c r="BB178" s="279">
        <x:f t="shared" si="255"/>
        <x:v>413.94621397473037</x:v>
      </x:c>
      <x:c r="BC178" s="279"/>
      <x:c r="BD178" s="289">
        <x:f t="shared" si="265"/>
        <x:v>0</x:v>
      </x:c>
      <x:c r="BE178" s="289">
        <x:f t="shared" si="266"/>
        <x:v>827.89242794946074</x:v>
      </x:c>
    </x:row>
    <x:row r="179" ht="15.75" customHeight="1">
      <x:c r="A179" s="21">
        <x:v>294</x:v>
      </x:c>
      <x:c r="B179" s="21">
        <x:f t="shared" si="19"/>
        <x:v>474</x:v>
      </x:c>
      <x:c r="C179" s="21">
        <x:f t="shared" si="0"/>
        <x:v>474</x:v>
      </x:c>
      <x:c r="D179" s="21">
        <x:f t="shared" si="20"/>
        <x:v>294</x:v>
      </x:c>
      <x:c r="E179" s="22" t="n">
        <x:f t="shared" ref="E179:H179" si="284">A179*PI()/180</x:f>
        <x:v>5.131268000863329</x:v>
      </x:c>
      <x:c r="F179" s="22">
        <x:f t="shared" si="284"/>
        <x:v>8.2728606544531225</x:v>
      </x:c>
      <x:c r="G179" s="22">
        <x:f t="shared" si="284"/>
        <x:v>8.2728606544531225</x:v>
      </x:c>
      <x:c r="H179" s="22">
        <x:f t="shared" si="284"/>
        <x:v>5.1312680008633293</x:v>
      </x:c>
      <x:c r="I179" s="23"/>
      <x:c r="J179" s="23"/>
      <x:c r="K179" s="23"/>
      <x:c r="L179" s="249">
        <x:f t="shared" si="236"/>
        <x:v>-1249.3095811629448</x:v>
      </x:c>
      <x:c r="M179" s="249">
        <x:f t="shared" si="237"/>
        <x:v>1249.3095811629448</x:v>
      </x:c>
      <x:c r="N179" s="249">
        <x:f t="shared" si="238"/>
        <x:v>1249.3095811629448</x:v>
      </x:c>
      <x:c r="O179" s="249">
        <x:f t="shared" si="239"/>
        <x:v>-1249.3095811629448</x:v>
      </x:c>
      <x:c r="P179" s="249">
        <x:f t="shared" si="240"/>
        <x:v>1021.529670000519</x:v>
      </x:c>
      <x:c r="Q179" s="249">
        <x:f t="shared" si="241"/>
        <x:v>-2024.5724161636592</x:v>
      </x:c>
      <x:c r="R179" s="249">
        <x:f t="shared" si="242"/>
        <x:v>-2024.5724161636592</x:v>
      </x:c>
      <x:c r="S179" s="249">
        <x:f t="shared" si="243"/>
        <x:v>1021.529670000519</x:v>
      </x:c>
      <x:c r="T179" s="23"/>
      <x:c r="U179" s="23"/>
      <x:c r="V179" s="260">
        <x:f t="shared" si="257"/>
        <x:v>465.68027536046003</x:v>
      </x:c>
      <x:c r="W179" s="260">
        <x:f t="shared" si="258"/>
        <x:v>2348.551095986556</x:v>
      </x:c>
      <x:c r="X179" s="260">
        <x:f t="shared" si="259"/>
        <x:v>-1392.3709387744991</x:v>
      </x:c>
      <x:c r="Y179" s="260">
        <x:f t="shared" si="260"/>
        <x:v>-1421.8604325725171</x:v>
      </x:c>
      <x:c r="Z179" s="260">
        <x:f t="shared" si="261"/>
        <x:v>1545.134032185269</x:v>
      </x:c>
      <x:c r="AA179" s="260">
        <x:f t="shared" si="262"/>
        <x:v>379.44123051750057</x:v>
      </x:c>
      <x:c r="AB179" s="260">
        <x:f t="shared" si="263"/>
        <x:v>-1928.981873095885</x:v>
      </x:c>
      <x:c r="AC179" s="260">
        <x:f t="shared" si="264"/>
        <x:v>-763.28907142811659</x:v>
      </x:c>
      <x:c r="AD179" s="260"/>
      <x:c r="AE179" s="282">
        <x:f t="shared" si="39"/>
        <x:v>0</x:v>
      </x:c>
      <x:c r="AF179" s="282">
        <x:f t="shared" si="10"/>
        <x:v>-767.69568182123203</x:v>
      </x:c>
      <x:c r="AJ179" s="272">
        <x:f t="shared" si="244"/>
        <x:v>-309.02680643705384</x:v>
      </x:c>
      <x:c r="AK179" s="272">
        <x:f t="shared" si="245"/>
        <x:v>-37.944123051750061</x:v>
      </x:c>
      <x:c r="AL179" s="272">
        <x:f t="shared" si="246"/>
        <x:v>-192.89818730958851</x:v>
      </x:c>
      <x:c r="AM179" s="272">
        <x:f t="shared" si="247"/>
        <x:v>-152.65781428562332</x:v>
      </x:c>
      <x:c r="AN179" s="272">
        <x:f t="shared" si="248"/>
        <x:v>93.136055072092006</x:v>
      </x:c>
      <x:c r="AO179" s="272">
        <x:f t="shared" si="249"/>
        <x:v>234.85510959865562</x:v>
      </x:c>
      <x:c r="AP179" s="272">
        <x:f t="shared" si="250"/>
        <x:v>139.23709387744992</x:v>
      </x:c>
      <x:c r="AQ179" s="272">
        <x:f t="shared" si="251"/>
        <x:v>284.37208651450345</x:v>
      </x:c>
      <x:c r="AR179" s="272"/>
      <x:c r="AS179" s="286">
        <x:f t="shared" si="32"/>
        <x:v>-692.5269310840157</x:v>
      </x:c>
      <x:c r="AT179" s="286">
        <x:f t="shared" si="33"/>
        <x:v>751.60034506270097</x:v>
      </x:c>
      <x:c r="AY179" s="279">
        <x:f t="shared" si="252"/>
        <x:v>394.21198723486003</x:v>
      </x:c>
      <x:c r="AZ179" s="279">
        <x:f t="shared" si="253"/>
        <x:v>-394.21198723486003</x:v>
      </x:c>
      <x:c r="BA179" s="279">
        <x:f t="shared" si="254"/>
        <x:v>387.39104094309442</x:v>
      </x:c>
      <x:c r="BB179" s="279">
        <x:f t="shared" si="255"/>
        <x:v>387.39104094309442</x:v>
      </x:c>
      <x:c r="BC179" s="279"/>
      <x:c r="BD179" s="289">
        <x:f t="shared" si="265"/>
        <x:v>0</x:v>
      </x:c>
      <x:c r="BE179" s="289">
        <x:f t="shared" si="266"/>
        <x:v>774.78208188618885</x:v>
      </x:c>
    </x:row>
    <x:row r="180" ht="15.75" customHeight="1">
      <x:c r="A180" s="21">
        <x:v>296</x:v>
      </x:c>
      <x:c r="B180" s="21">
        <x:f t="shared" si="19"/>
        <x:v>476</x:v>
      </x:c>
      <x:c r="C180" s="21">
        <x:f t="shared" si="0"/>
        <x:v>476</x:v>
      </x:c>
      <x:c r="D180" s="21">
        <x:f t="shared" si="20"/>
        <x:v>296</x:v>
      </x:c>
      <x:c r="E180" s="22" t="n">
        <x:f t="shared" ref="E180:H180" si="285">A180*PI()/180</x:f>
        <x:v>5.1661745859032155</x:v>
      </x:c>
      <x:c r="F180" s="22">
        <x:f t="shared" si="285"/>
        <x:v>8.3077672394930087</x:v>
      </x:c>
      <x:c r="G180" s="22">
        <x:f t="shared" si="285"/>
        <x:v>8.3077672394930087</x:v>
      </x:c>
      <x:c r="H180" s="22">
        <x:f t="shared" si="285"/>
        <x:v>5.1661745859032155</x:v>
      </x:c>
      <x:c r="I180" s="23"/>
      <x:c r="J180" s="23"/>
      <x:c r="K180" s="23"/>
      <x:c r="L180" s="249">
        <x:f t="shared" si="236"/>
        <x:v>-1229.1364421331873</x:v>
      </x:c>
      <x:c r="M180" s="249">
        <x:f t="shared" si="237"/>
        <x:v>1229.1364421331873</x:v>
      </x:c>
      <x:c r="N180" s="249">
        <x:f t="shared" si="238"/>
        <x:v>1229.1364421331873</x:v>
      </x:c>
      <x:c r="O180" s="249">
        <x:f t="shared" si="239"/>
        <x:v>-1229.1364421331873</x:v>
      </x:c>
      <x:c r="P180" s="249">
        <x:f t="shared" si="240"/>
        <x:v>1180.0628183592764</x:v>
      </x:c>
      <x:c r="Q180" s="249">
        <x:f t="shared" si="241"/>
        <x:v>-2102.9540611883517</x:v>
      </x:c>
      <x:c r="R180" s="249">
        <x:f t="shared" si="242"/>
        <x:v>-2102.9540611883517</x:v>
      </x:c>
      <x:c r="S180" s="249">
        <x:f t="shared" si="243"/>
        <x:v>1180.0628183592764</x:v>
      </x:c>
      <x:c r="T180" s="23"/>
      <x:c r="U180" s="23"/>
      <x:c r="V180" s="260">
        <x:f t="shared" si="257"/>
        <x:v>619.86573243917724</x:v>
      </x:c>
      <x:c r="W180" s="260">
        <x:f t="shared" si="258"/>
        <x:v>2413.2463674639489</x:v>
      </x:c>
      <x:c r="X180" s="260">
        <x:f t="shared" si="259"/>
        <x:v>-1472.5060624228636</x:v>
      </x:c>
      <x:c r="Y180" s="260">
        <x:f t="shared" si="260"/>
        <x:v>-1560.6060374802626</x:v>
      </x:c>
      <x:c r="Z180" s="260">
        <x:f t="shared" si="261"/>
        <x:v>1587.1644912867448</x:v>
      </x:c>
      <x:c r="AA180" s="260">
        <x:f t="shared" si="262"/>
        <x:v>330.80832330893168</x:v>
      </x:c>
      <x:c r="AB180" s="260">
        <x:f t="shared" si="263"/>
        <x:v>-1940.3396797922589</x:v>
      </x:c>
      <x:c r="AC180" s="260">
        <x:f t="shared" si="264"/>
        <x:v>-683.98351181444582</x:v>
      </x:c>
      <x:c r="AD180" s="260"/>
      <x:c r="AE180" s="282">
        <x:f t="shared" si="39"/>
        <x:v>0</x:v>
      </x:c>
      <x:c r="AF180" s="282">
        <x:f t="shared" si="10"/>
        <x:v>-706.35037701102829</x:v>
      </x:c>
      <x:c r="AJ180" s="272">
        <x:f t="shared" si="244"/>
        <x:v>-317.432898257349</x:v>
      </x:c>
      <x:c r="AK180" s="272">
        <x:f t="shared" si="245"/>
        <x:v>-33.080832330893166</x:v>
      </x:c>
      <x:c r="AL180" s="272">
        <x:f t="shared" si="246"/>
        <x:v>-194.03396797922591</x:v>
      </x:c>
      <x:c r="AM180" s="272">
        <x:f t="shared" si="247"/>
        <x:v>-136.79670236288916</x:v>
      </x:c>
      <x:c r="AN180" s="272">
        <x:f t="shared" si="248"/>
        <x:v>123.97314648783545</x:v>
      </x:c>
      <x:c r="AO180" s="272">
        <x:f t="shared" si="249"/>
        <x:v>241.3246367463949</x:v>
      </x:c>
      <x:c r="AP180" s="272">
        <x:f t="shared" si="250"/>
        <x:v>147.25060624228635</x:v>
      </x:c>
      <x:c r="AQ180" s="272">
        <x:f t="shared" si="251"/>
        <x:v>312.12120749605253</x:v>
      </x:c>
      <x:c r="AR180" s="272"/>
      <x:c r="AS180" s="286">
        <x:f t="shared" si="32"/>
        <x:v>-681.34440093035721</x:v>
      </x:c>
      <x:c r="AT180" s="286">
        <x:f t="shared" si="33"/>
        <x:v>824.66959697256925</x:v>
      </x:c>
      <x:c r="AY180" s="279">
        <x:f t="shared" si="252"/>
        <x:v>420.27473962323711</x:v>
      </x:c>
      <x:c r="AZ180" s="279">
        <x:f t="shared" si="253"/>
        <x:v>-420.27473962323711</x:v>
      </x:c>
      <x:c r="BA180" s="279">
        <x:f t="shared" si="254"/>
        <x:v>358.94853770039509</x:v>
      </x:c>
      <x:c r="BB180" s="279">
        <x:f t="shared" si="255"/>
        <x:v>358.94853770039509</x:v>
      </x:c>
      <x:c r="BC180" s="279"/>
      <x:c r="BD180" s="289">
        <x:f t="shared" si="265"/>
        <x:v>0</x:v>
      </x:c>
      <x:c r="BE180" s="289">
        <x:f t="shared" si="266"/>
        <x:v>717.89707540079019</x:v>
      </x:c>
    </x:row>
    <x:row r="181" ht="15.75" customHeight="1">
      <x:c r="A181" s="21">
        <x:v>298</x:v>
      </x:c>
      <x:c r="B181" s="21">
        <x:f t="shared" si="19"/>
        <x:v>478</x:v>
      </x:c>
      <x:c r="C181" s="21">
        <x:f t="shared" si="0"/>
        <x:v>478</x:v>
      </x:c>
      <x:c r="D181" s="21">
        <x:f t="shared" si="20"/>
        <x:v>298</x:v>
      </x:c>
      <x:c r="E181" s="22" t="n">
        <x:f t="shared" ref="E181:H181" si="286">A181*PI()/180</x:f>
        <x:v>5.201081170943102</x:v>
      </x:c>
      <x:c r="F181" s="22">
        <x:f t="shared" si="286"/>
        <x:v>8.3426738245328949</x:v>
      </x:c>
      <x:c r="G181" s="22">
        <x:f t="shared" si="286"/>
        <x:v>8.3426738245328949</x:v>
      </x:c>
      <x:c r="H181" s="22">
        <x:f t="shared" si="286"/>
        <x:v>5.2010811709431017</x:v>
      </x:c>
      <x:c r="I181" s="23"/>
      <x:c r="J181" s="23"/>
      <x:c r="K181" s="23"/>
      <x:c r="L181" s="249">
        <x:f t="shared" si="236"/>
        <x:v>-1207.4657896826452</x:v>
      </x:c>
      <x:c r="M181" s="249">
        <x:f t="shared" si="237"/>
        <x:v>1207.4657896826454</x:v>
      </x:c>
      <x:c r="N181" s="249">
        <x:f t="shared" si="238"/>
        <x:v>1207.4657896826454</x:v>
      </x:c>
      <x:c r="O181" s="249">
        <x:f t="shared" si="239"/>
        <x:v>-1207.4657896826452</x:v>
      </x:c>
      <x:c r="P181" s="249">
        <x:f t="shared" si="240"/>
        <x:v>1338.8441582223406</x:v>
      </x:c>
      <x:c r="Q181" s="249">
        <x:f t="shared" si="241"/>
        <x:v>-2177.087664350991</x:v>
      </x:c>
      <x:c r="R181" s="249">
        <x:f t="shared" si="242"/>
        <x:v>-2177.087664350991</x:v>
      </x:c>
      <x:c r="S181" s="249">
        <x:f t="shared" si="243"/>
        <x:v>1338.8441582223406</x:v>
      </x:c>
      <x:c r="T181" s="23"/>
      <x:c r="U181" s="23"/>
      <x:c r="V181" s="260">
        <x:f t="shared" si="257"/>
        <x:v>774.85356214474496</x:v>
      </x:c>
      <x:c r="W181" s="260">
        <x:f t="shared" si="258"/>
        <x:v>2473.4438864358613</x:v>
      </x:c>
      <x:c r="X181" s="260">
        <x:f t="shared" si="259"/>
        <x:v>-1549.2895807175041</x:v>
      </x:c>
      <x:c r="Y181" s="260">
        <x:f t="shared" si="260"/>
        <x:v>-1699.0078678631016</x:v>
      </x:c>
      <x:c r="Z181" s="260">
        <x:f t="shared" si="261"/>
        <x:v>1627.9064071658488</x:v>
      </x:c>
      <x:c r="AA181" s="260">
        <x:f t="shared" si="262"/>
        <x:v>282.41754934184019</x:v>
      </x:c>
      <x:c r="AB181" s="260">
        <x:f t="shared" si="263"/>
        <x:v>-1948.6883092489079</x:v>
      </x:c>
      <x:c r="AC181" s="260">
        <x:f t="shared" si="264"/>
        <x:v>-603.19945142489928</x:v>
      </x:c>
      <x:c r="AD181" s="260"/>
      <x:c r="AE181" s="282">
        <x:f t="shared" si="39"/>
        <x:v>0</x:v>
      </x:c>
      <x:c r="AF181" s="282">
        <x:f t="shared" si="10"/>
        <x:v>-641.56380416611819</x:v>
      </x:c>
      <x:c r="AJ181" s="272">
        <x:f t="shared" si="244"/>
        <x:v>-325.58128143316981</x:v>
      </x:c>
      <x:c r="AK181" s="272">
        <x:f t="shared" si="245"/>
        <x:v>-28.241754934184019</x:v>
      </x:c>
      <x:c r="AL181" s="272">
        <x:f t="shared" si="246"/>
        <x:v>-194.8688309248908</x:v>
      </x:c>
      <x:c r="AM181" s="272">
        <x:f t="shared" si="247"/>
        <x:v>-120.63989028497986</x:v>
      </x:c>
      <x:c r="AN181" s="272">
        <x:f t="shared" si="248"/>
        <x:v>154.97071242894901</x:v>
      </x:c>
      <x:c r="AO181" s="272">
        <x:f t="shared" si="249"/>
        <x:v>247.34438864358614</x:v>
      </x:c>
      <x:c r="AP181" s="272">
        <x:f t="shared" si="250"/>
        <x:v>154.92895807175043</x:v>
      </x:c>
      <x:c r="AQ181" s="272">
        <x:f t="shared" si="251"/>
        <x:v>339.80157357262033</x:v>
      </x:c>
      <x:c r="AR181" s="272"/>
      <x:c r="AS181" s="286">
        <x:f t="shared" si="32"/>
        <x:v>-669.33175757722449</x:v>
      </x:c>
      <x:c r="AT181" s="286">
        <x:f t="shared" si="33"/>
        <x:v>897.04563271690597</x:v>
      </x:c>
      <x:c r="AY181" s="279">
        <x:f t="shared" si="252"/>
        <x:v>444.28995572603958</x:v>
      </x:c>
      <x:c r="AZ181" s="279">
        <x:f t="shared" si="253"/>
        <x:v>-444.28995572603958</x:v>
      </x:c>
      <x:c r="BA181" s="279">
        <x:f t="shared" si="254"/>
        <x:v>328.75727326339944</x:v>
      </x:c>
      <x:c r="BB181" s="279">
        <x:f t="shared" si="255"/>
        <x:v>328.75727326339944</x:v>
      </x:c>
      <x:c r="BC181" s="279"/>
      <x:c r="BD181" s="289">
        <x:f t="shared" si="265"/>
        <x:v>0</x:v>
      </x:c>
      <x:c r="BE181" s="289">
        <x:f t="shared" si="266"/>
        <x:v>657.51454652679888</x:v>
      </x:c>
    </x:row>
    <x:row r="182" ht="15.75" customHeight="1">
      <x:c r="A182" s="21">
        <x:v>300</x:v>
      </x:c>
      <x:c r="B182" s="21">
        <x:f t="shared" si="19"/>
        <x:v>480</x:v>
      </x:c>
      <x:c r="C182" s="21">
        <x:f t="shared" si="0"/>
        <x:v>480</x:v>
      </x:c>
      <x:c r="D182" s="21">
        <x:f t="shared" si="20"/>
        <x:v>300</x:v>
      </x:c>
      <x:c r="E182" s="22" t="n">
        <x:f t="shared" ref="E182:H182" si="287">A182*PI()/180</x:f>
        <x:v>5.235987755982989</x:v>
      </x:c>
      <x:c r="F182" s="22">
        <x:f t="shared" si="287"/>
        <x:v>8.3775804095727811</x:v>
      </x:c>
      <x:c r="G182" s="22">
        <x:f t="shared" si="287"/>
        <x:v>8.3775804095727811</x:v>
      </x:c>
      <x:c r="H182" s="22">
        <x:f t="shared" si="287"/>
        <x:v>5.2359877559829888</x:v>
      </x:c>
      <x:c r="I182" s="23"/>
      <x:c r="J182" s="23"/>
      <x:c r="K182" s="23"/>
      <x:c r="L182" s="249">
        <x:f t="shared" si="236"/>
        <x:v>-1184.3240261632209</x:v>
      </x:c>
      <x:c r="M182" s="249">
        <x:f t="shared" si="237"/>
        <x:v>1184.3240261632216</x:v>
      </x:c>
      <x:c r="N182" s="249">
        <x:f t="shared" si="238"/>
        <x:v>1184.3240261632216</x:v>
      </x:c>
      <x:c r="O182" s="249">
        <x:f t="shared" si="239"/>
        <x:v>-1184.3240261632209</x:v>
      </x:c>
      <x:c r="P182" s="249">
        <x:f t="shared" si="240"/>
        <x:v>1497.525606467354</x:v>
      </x:c>
      <x:c r="Q182" s="249">
        <x:f t="shared" si="241"/>
        <x:v>-2247.0375377936584</x:v>
      </x:c>
      <x:c r="R182" s="249">
        <x:f t="shared" si="242"/>
        <x:v>-2247.0375377936584</x:v>
      </x:c>
      <x:c r="S182" s="249">
        <x:f t="shared" si="243"/>
        <x:v>1497.525606467354</x:v>
      </x:c>
      <x:c r="T182" s="23"/>
      <x:c r="U182" s="23"/>
      <x:c r="V182" s="260">
        <x:f t="shared" si="257"/>
        <x:v>930.31207386215647</x:v>
      </x:c>
      <x:c r="W182" s="260">
        <x:f t="shared" si="258"/>
        <x:v>2529.2131733167021</x:v>
      </x:c>
      <x:c r="X182" s="260">
        <x:f t="shared" si="259"/>
        <x:v>-1622.7708065875338</x:v>
      </x:c>
      <x:c r="Y182" s="260">
        <x:f t="shared" si="260"/>
        <x:v>-1836.7544405913241</x:v>
      </x:c>
      <x:c r="Z182" s="260">
        <x:f t="shared" si="261"/>
        <x:v>1667.250966771101</x:v>
      </x:c>
      <x:c r="AA182" s="260">
        <x:f t="shared" si="262"/>
        <x:v>234.26869001748457</x:v>
      </x:c>
      <x:c r="AB182" s="260">
        <x:f t="shared" si="263"/>
        <x:v>-1954.0767652496397</x:v>
      </x:c>
      <x:c r="AC182" s="260">
        <x:f t="shared" si="264"/>
        <x:v>-521.09448849602165</x:v>
      </x:c>
      <x:c r="AD182" s="260"/>
      <x:c r="AE182" s="282">
        <x:f t="shared" si="39"/>
        <x:v>0</x:v>
      </x:c>
      <x:c r="AF182" s="282">
        <x:f t="shared" si="10"/>
        <x:v>-573.65159695707587</x:v>
      </x:c>
      <x:c r="AJ182" s="272">
        <x:f t="shared" si="244"/>
        <x:v>-333.45019335422023</x:v>
      </x:c>
      <x:c r="AK182" s="272">
        <x:f t="shared" si="245"/>
        <x:v>-23.426869001748457</x:v>
      </x:c>
      <x:c r="AL182" s="272">
        <x:f t="shared" si="246"/>
        <x:v>-195.40767652496399</x:v>
      </x:c>
      <x:c r="AM182" s="272">
        <x:f t="shared" si="247"/>
        <x:v>-104.21889769920433</x:v>
      </x:c>
      <x:c r="AN182" s="272">
        <x:f t="shared" si="248"/>
        <x:v>186.06241477243131</x:v>
      </x:c>
      <x:c r="AO182" s="272">
        <x:f t="shared" si="249"/>
        <x:v>252.92131733167022</x:v>
      </x:c>
      <x:c r="AP182" s="272">
        <x:f t="shared" si="250"/>
        <x:v>162.27708065875339</x:v>
      </x:c>
      <x:c r="AQ182" s="272">
        <x:f t="shared" si="251"/>
        <x:v>367.35088811826483</x:v>
      </x:c>
      <x:c r="AR182" s="272"/>
      <x:c r="AS182" s="286">
        <x:f t="shared" si="32"/>
        <x:v>-656.50363658013703</x:v>
      </x:c>
      <x:c r="AT182" s="286">
        <x:f t="shared" si="33"/>
        <x:v>968.61170088111976</x:v>
      </x:c>
      <x:c r="AY182" s="279">
        <x:f t="shared" si="252"/>
        <x:v>466.14063582441435</x:v>
      </x:c>
      <x:c r="AZ182" s="279">
        <x:f t="shared" si="253"/>
        <x:v>-466.14063582441435</x:v>
      </x:c>
      <x:c r="BA182" s="279">
        <x:f t="shared" si="254"/>
        <x:v>296.96433643763083</x:v>
      </x:c>
      <x:c r="BB182" s="279">
        <x:f t="shared" si="255"/>
        <x:v>296.96433643763083</x:v>
      </x:c>
      <x:c r="BC182" s="279"/>
      <x:c r="BD182" s="289">
        <x:f t="shared" si="265"/>
        <x:v>0</x:v>
      </x:c>
      <x:c r="BE182" s="289">
        <x:f t="shared" si="266"/>
        <x:v>593.92867287526167</x:v>
      </x:c>
    </x:row>
    <x:row r="183" ht="15.75" customHeight="1">
      <x:c r="A183" s="21">
        <x:v>302</x:v>
      </x:c>
      <x:c r="B183" s="21">
        <x:f t="shared" si="19"/>
        <x:v>482</x:v>
      </x:c>
      <x:c r="C183" s="21">
        <x:f t="shared" si="0"/>
        <x:v>482</x:v>
      </x:c>
      <x:c r="D183" s="21">
        <x:f t="shared" si="20"/>
        <x:v>302</x:v>
      </x:c>
      <x:c r="E183" s="22" t="n">
        <x:f t="shared" ref="E183:H183" si="288">A183*PI()/180</x:f>
        <x:v>5.270894341022875</x:v>
      </x:c>
      <x:c r="F183" s="22">
        <x:f t="shared" si="288"/>
        <x:v>8.412486994612669</x:v>
      </x:c>
      <x:c r="G183" s="22">
        <x:f t="shared" si="288"/>
        <x:v>8.412486994612669</x:v>
      </x:c>
      <x:c r="H183" s="22">
        <x:f t="shared" si="288"/>
        <x:v>5.270894341022875</x:v>
      </x:c>
      <x:c r="I183" s="23"/>
      <x:c r="J183" s="23"/>
      <x:c r="K183" s="23"/>
      <x:c r="L183" s="249">
        <x:f t="shared" si="236"/>
        <x:v>-1159.7393462490484</x:v>
      </x:c>
      <x:c r="M183" s="249">
        <x:f t="shared" si="237"/>
        <x:v>1159.7393462490477</x:v>
      </x:c>
      <x:c r="N183" s="249">
        <x:f t="shared" si="238"/>
        <x:v>1159.7393462490477</x:v>
      </x:c>
      <x:c r="O183" s="249">
        <x:f t="shared" si="239"/>
        <x:v>-1159.7393462490484</x:v>
      </x:c>
      <x:c r="P183" s="249">
        <x:f t="shared" si="240"/>
        <x:v>1655.751741413962</x:v>
      </x:c>
      <x:c r="Q183" s="249">
        <x:f t="shared" si="241"/>
        <x:v>-2312.8805511491832</x:v>
      </x:c>
      <x:c r="R183" s="249">
        <x:f t="shared" si="242"/>
        <x:v>-2312.8805511491832</x:v>
      </x:c>
      <x:c r="S183" s="249">
        <x:f t="shared" si="243"/>
        <x:v>1655.751741413962</x:v>
      </x:c>
      <x:c r="T183" s="23"/>
      <x:c r="U183" s="23"/>
      <x:c r="V183" s="260">
        <x:f t="shared" si="257"/>
        <x:v>1085.902111140849</x:v>
      </x:c>
      <x:c r="W183" s="260">
        <x:f t="shared" si="258"/>
        <x:v>2580.6360360215858</x:v>
      </x:c>
      <x:c r="X183" s="260">
        <x:f t="shared" si="259"/>
        <x:v>-1693.0099686787237</x:v>
      </x:c>
      <x:c r="Y183" s="260">
        <x:f t="shared" si="260"/>
        <x:v>-1973.5281784837114</x:v>
      </x:c>
      <x:c r="Z183" s="260">
        <x:f t="shared" si="261"/>
        <x:v>1705.0882045962858</x:v>
      </x:c>
      <x:c r="AA183" s="260">
        <x:f t="shared" si="262"/>
        <x:v>186.35837708328518</x:v>
      </x:c>
      <x:c r="AB183" s="260">
        <x:f t="shared" si="263"/>
        <x:v>-1956.5605130117456</x:v>
      </x:c>
      <x:c r="AC183" s="260">
        <x:f t="shared" si="264"/>
        <x:v>-437.83068549874645</x:v>
      </x:c>
      <x:c r="AD183" s="260"/>
      <x:c r="AE183" s="282">
        <x:f t="shared" si="39"/>
        <x:v>0</x:v>
      </x:c>
      <x:c r="AF183" s="282">
        <x:f t="shared" si="10"/>
        <x:v>-502.94461683092106</x:v>
      </x:c>
      <x:c r="AJ183" s="272">
        <x:f t="shared" si="244"/>
        <x:v>-341.01764091925719</x:v>
      </x:c>
      <x:c r="AK183" s="272">
        <x:f t="shared" si="245"/>
        <x:v>-18.63583770832852</x:v>
      </x:c>
      <x:c r="AL183" s="272">
        <x:f t="shared" si="246"/>
        <x:v>-195.65605130117456</x:v>
      </x:c>
      <x:c r="AM183" s="272">
        <x:f t="shared" si="247"/>
        <x:v>-87.566137099749298</x:v>
      </x:c>
      <x:c r="AN183" s="272">
        <x:f t="shared" si="248"/>
        <x:v>217.18042222816982</x:v>
      </x:c>
      <x:c r="AO183" s="272">
        <x:f t="shared" si="249"/>
        <x:v>258.06360360215859</x:v>
      </x:c>
      <x:c r="AP183" s="272">
        <x:f t="shared" si="250"/>
        <x:v>169.30099686787239</x:v>
      </x:c>
      <x:c r="AQ183" s="272">
        <x:f t="shared" si="251"/>
        <x:v>394.70563569674232</x:v>
      </x:c>
      <x:c r="AR183" s="272"/>
      <x:c r="AS183" s="286">
        <x:f t="shared" si="32"/>
        <x:v>-642.8756670285095</x:v>
      </x:c>
      <x:c r="AT183" s="286">
        <x:f t="shared" si="33"/>
        <x:v>1039.250658394943</x:v>
      </x:c>
      <x:c r="AY183" s="279">
        <x:f t="shared" si="252"/>
        <x:v>485.72032560134596</x:v>
      </x:c>
      <x:c r="AZ183" s="279">
        <x:f t="shared" si="253"/>
        <x:v>-485.72032560134596</x:v>
      </x:c>
      <x:c r="BA183" s="279">
        <x:f t="shared" si="254"/>
        <x:v>263.72461921548802</x:v>
      </x:c>
      <x:c r="BB183" s="279">
        <x:f t="shared" si="255"/>
        <x:v>263.72461921548802</x:v>
      </x:c>
      <x:c r="BC183" s="279"/>
      <x:c r="BD183" s="289">
        <x:f t="shared" si="265"/>
        <x:v>0</x:v>
      </x:c>
      <x:c r="BE183" s="289">
        <x:f t="shared" si="266"/>
        <x:v>527.44923843097604</x:v>
      </x:c>
    </x:row>
    <x:row r="184" ht="15.75" customHeight="1">
      <x:c r="A184" s="21">
        <x:v>304</x:v>
      </x:c>
      <x:c r="B184" s="21">
        <x:f t="shared" si="19"/>
        <x:v>484</x:v>
      </x:c>
      <x:c r="C184" s="21">
        <x:f t="shared" si="0"/>
        <x:v>484</x:v>
      </x:c>
      <x:c r="D184" s="21">
        <x:f t="shared" si="20"/>
        <x:v>304</x:v>
      </x:c>
      <x:c r="E184" s="22" t="n">
        <x:f t="shared" ref="E184:H184" si="289">A184*PI()/180</x:f>
        <x:v>5.305800926062761</x:v>
      </x:c>
      <x:c r="F184" s="22">
        <x:f t="shared" si="289"/>
        <x:v>8.4473935796525552</x:v>
      </x:c>
      <x:c r="G184" s="22">
        <x:f t="shared" si="289"/>
        <x:v>8.4473935796525552</x:v>
      </x:c>
      <x:c r="H184" s="22">
        <x:f t="shared" si="289"/>
        <x:v>5.3058009260627612</x:v>
      </x:c>
      <x:c r="I184" s="23"/>
      <x:c r="J184" s="23"/>
      <x:c r="K184" s="23"/>
      <x:c r="L184" s="249">
        <x:f t="shared" si="236"/>
        <x:v>-1133.7417025856228</x:v>
      </x:c>
      <x:c r="M184" s="249">
        <x:f t="shared" si="237"/>
        <x:v>1133.7417025856221</x:v>
      </x:c>
      <x:c r="N184" s="249">
        <x:f t="shared" si="238"/>
        <x:v>1133.7417025856221</x:v>
      </x:c>
      <x:c r="O184" s="249">
        <x:f t="shared" si="239"/>
        <x:v>-1133.7417025856228</x:v>
      </x:c>
      <x:c r="P184" s="249">
        <x:f t="shared" si="240"/>
        <x:v>1813.1610255501332</x:v>
      </x:c>
      <x:c r="Q184" s="249">
        <x:f t="shared" si="241"/>
        <x:v>-2374.7052481875944</x:v>
      </x:c>
      <x:c r="R184" s="249">
        <x:f t="shared" si="242"/>
        <x:v>-2374.7052481875944</x:v>
      </x:c>
      <x:c r="S184" s="249">
        <x:f t="shared" si="243"/>
        <x:v>1813.1610255501332</x:v>
      </x:c>
      <x:c r="T184" s="23"/>
      <x:c r="U184" s="23"/>
      <x:c r="V184" s="260">
        <x:f t="shared" si="257"/>
        <x:v>1241.2781944920353</x:v>
      </x:c>
      <x:c r="W184" s="260">
        <x:f t="shared" si="258"/>
        <x:v>2627.8057407085607</x:v>
      </x:c>
      <x:c r="X184" s="260">
        <x:f t="shared" si="259"/>
        <x:v>-1760.0774083867473</x:v>
      </x:c>
      <x:c r="Y184" s="260">
        <x:f t="shared" si="260"/>
        <x:v>-2109.0065268138492</x:v>
      </x:c>
      <x:c r="Z184" s="260">
        <x:f t="shared" si="261"/>
        <x:v>1741.3074388614868</x:v>
      </x:c>
      <x:c r="AA184" s="260">
        <x:f t="shared" si="262"/>
        <x:v>138.68039894153378</x:v>
      </x:c>
      <x:c r="AB184" s="260">
        <x:f t="shared" si="263"/>
        <x:v>-1956.2011094051759</x:v>
      </x:c>
      <x:c r="AC184" s="260">
        <x:f t="shared" si="264"/>
        <x:v>-353.57406948522396</x:v>
      </x:c>
      <x:c r="AD184" s="260"/>
      <x:c r="AE184" s="282">
        <x:f t="shared" si="39"/>
        <x:v>0</x:v>
      </x:c>
      <x:c r="AF184" s="282">
        <x:f t="shared" si="10"/>
        <x:v>-429.7873410873791</x:v>
      </x:c>
      <x:c r="AJ184" s="272">
        <x:f t="shared" si="244"/>
        <x:v>-348.26148777229741</x:v>
      </x:c>
      <x:c r="AK184" s="272">
        <x:f t="shared" si="245"/>
        <x:v>-13.868039894153378</x:v>
      </x:c>
      <x:c r="AL184" s="272">
        <x:f t="shared" si="246"/>
        <x:v>-195.62011094051761</x:v>
      </x:c>
      <x:c r="AM184" s="272">
        <x:f t="shared" si="247"/>
        <x:v>-70.714813897044792</x:v>
      </x:c>
      <x:c r="AN184" s="272">
        <x:f t="shared" si="248"/>
        <x:v>248.25563889840706</x:v>
      </x:c>
      <x:c r="AO184" s="272">
        <x:f t="shared" si="249"/>
        <x:v>262.78057407085606</x:v>
      </x:c>
      <x:c r="AP184" s="272">
        <x:f t="shared" si="250"/>
        <x:v>176.00774083867475</x:v>
      </x:c>
      <x:c r="AQ184" s="272">
        <x:f t="shared" si="251"/>
        <x:v>421.80130536276988</x:v>
      </x:c>
      <x:c r="AR184" s="272"/>
      <x:c r="AS184" s="286">
        <x:f t="shared" si="32"/>
        <x:v>-628.46445250401314</x:v>
      </x:c>
      <x:c r="AT184" s="286">
        <x:f t="shared" si="33"/>
        <x:v>1108.8452591707078</x:v>
      </x:c>
      <x:c r="AY184" s="279">
        <x:f t="shared" si="252"/>
        <x:v>502.93363477638377</x:v>
      </x:c>
      <x:c r="AZ184" s="279">
        <x:f t="shared" si="253"/>
        <x:v>-502.93363477638377</x:v>
      </x:c>
      <x:c r="BA184" s="279">
        <x:f t="shared" si="254"/>
        <x:v>229.20006215803423</x:v>
      </x:c>
      <x:c r="BB184" s="279">
        <x:f t="shared" si="255"/>
        <x:v>229.20006215803423</x:v>
      </x:c>
      <x:c r="BC184" s="279"/>
      <x:c r="BD184" s="289">
        <x:f t="shared" si="265"/>
        <x:v>0</x:v>
      </x:c>
      <x:c r="BE184" s="289">
        <x:f t="shared" si="266"/>
        <x:v>458.40012431606846</x:v>
      </x:c>
    </x:row>
    <x:row r="185" ht="15.75" customHeight="1">
      <x:c r="A185" s="21">
        <x:v>306</x:v>
      </x:c>
      <x:c r="B185" s="21">
        <x:f t="shared" si="19"/>
        <x:v>486</x:v>
      </x:c>
      <x:c r="C185" s="21">
        <x:f t="shared" si="0"/>
        <x:v>486</x:v>
      </x:c>
      <x:c r="D185" s="21">
        <x:f t="shared" si="20"/>
        <x:v>306</x:v>
      </x:c>
      <x:c r="E185" s="22" t="n">
        <x:f t="shared" ref="E185:H185" si="290">A185*PI()/180</x:f>
        <x:v>5.340707511102648</x:v>
      </x:c>
      <x:c r="F185" s="22">
        <x:f t="shared" si="290"/>
        <x:v>8.4823001646924414</x:v>
      </x:c>
      <x:c r="G185" s="22">
        <x:f t="shared" si="290"/>
        <x:v>8.4823001646924414</x:v>
      </x:c>
      <x:c r="H185" s="22">
        <x:f t="shared" si="290"/>
        <x:v>5.3407075111026483</x:v>
      </x:c>
      <x:c r="I185" s="23"/>
      <x:c r="J185" s="23"/>
      <x:c r="K185" s="23"/>
      <x:c r="L185" s="249">
        <x:f t="shared" si="236"/>
        <x:v>-1106.3627692971172</x:v>
      </x:c>
      <x:c r="M185" s="249">
        <x:f t="shared" si="237"/>
        <x:v>1106.3627692971174</x:v>
      </x:c>
      <x:c r="N185" s="249">
        <x:f t="shared" si="238"/>
        <x:v>1106.3627692971174</x:v>
      </x:c>
      <x:c r="O185" s="249">
        <x:f t="shared" si="239"/>
        <x:v>-1106.3627692971172</x:v>
      </x:c>
      <x:c r="P185" s="249">
        <x:f t="shared" si="240"/>
        <x:v>1969.3870682079378</x:v>
      </x:c>
      <x:c r="Q185" s="249">
        <x:f t="shared" si="241"/>
        <x:v>-2432.6109167411732</x:v>
      </x:c>
      <x:c r="R185" s="249">
        <x:f t="shared" si="242"/>
        <x:v>-2432.6109167411732</x:v>
      </x:c>
      <x:c r="S185" s="249">
        <x:f t="shared" si="243"/>
        <x:v>1969.3870682079378</x:v>
      </x:c>
      <x:c r="T185" s="23"/>
      <x:c r="U185" s="23"/>
      <x:c r="V185" s="260">
        <x:f t="shared" si="257"/>
        <x:v>1396.0897019141562</x:v>
      </x:c>
      <x:c r="W185" s="260">
        <x:f t="shared" si="258"/>
        <x:v>2670.8261385362548</x:v>
      </x:c>
      <x:c r="X185" s="260">
        <x:f t="shared" si="259"/>
        <x:v>-1824.052734545121</x:v>
      </x:c>
      <x:c r="Y185" s="260">
        <x:f t="shared" si="260"/>
        <x:v>-2242.86310590529</x:v>
      </x:c>
      <x:c r="Z185" s="260">
        <x:f t="shared" si="261"/>
        <x:v>1775.7977210033482</x:v>
      </x:c>
      <x:c r="AA185" s="260">
        <x:f t="shared" si="262"/>
        <x:v>91.226022858813394</x:v>
      </x:c>
      <x:c r="AB185" s="260">
        <x:f t="shared" si="263"/>
        <x:v>-1953.0658133134134</x:v>
      </x:c>
      <x:c r="AC185" s="260">
        <x:f t="shared" si="264"/>
        <x:v>-268.49411516887835</x:v>
      </x:c>
      <x:c r="AD185" s="260"/>
      <x:c r="AE185" s="282">
        <x:f t="shared" si="39"/>
        <x:v>0</x:v>
      </x:c>
      <x:c r="AF185" s="282">
        <x:f t="shared" si="10"/>
        <x:v>-354.53618462013014</x:v>
      </x:c>
      <x:c r="AJ185" s="272">
        <x:f t="shared" si="244"/>
        <x:v>-355.15954420066964</x:v>
      </x:c>
      <x:c r="AK185" s="272">
        <x:f t="shared" si="245"/>
        <x:v>-9.1226022858813405</x:v>
      </x:c>
      <x:c r="AL185" s="272">
        <x:f t="shared" si="246"/>
        <x:v>-195.30658133134136</x:v>
      </x:c>
      <x:c r="AM185" s="272">
        <x:f t="shared" si="247"/>
        <x:v>-53.698823033775675</x:v>
      </x:c>
      <x:c r="AN185" s="272">
        <x:f t="shared" si="248"/>
        <x:v>279.21794038283127</x:v>
      </x:c>
      <x:c r="AO185" s="272">
        <x:f t="shared" si="249"/>
        <x:v>267.0826138536255</x:v>
      </x:c>
      <x:c r="AP185" s="272">
        <x:f t="shared" si="250"/>
        <x:v>182.4052734545121</x:v>
      </x:c>
      <x:c r="AQ185" s="272">
        <x:f t="shared" si="251"/>
        <x:v>448.57262118105803</x:v>
      </x:c>
      <x:c r="AR185" s="272"/>
      <x:c r="AS185" s="286">
        <x:f t="shared" si="32"/>
        <x:v>-613.2875508516679</x:v>
      </x:c>
      <x:c r="AT185" s="286">
        <x:f t="shared" si="33"/>
        <x:v>1177.2784488720267</x:v>
      </x:c>
      <x:c r="AY185" s="279">
        <x:f t="shared" si="252"/>
        <x:v>517.69670183750361</x:v>
      </x:c>
      <x:c r="AZ185" s="279">
        <x:f t="shared" si="253"/>
        <x:v>-517.69670183750361</x:v>
      </x:c>
      <x:c r="BA185" s="279">
        <x:f t="shared" si="254"/>
        <x:v>193.55886543685529</x:v>
      </x:c>
      <x:c r="BB185" s="279">
        <x:f t="shared" si="255"/>
        <x:v>193.55886543685529</x:v>
      </x:c>
      <x:c r="BC185" s="279"/>
      <x:c r="BD185" s="289">
        <x:f t="shared" si="265"/>
        <x:v>0</x:v>
      </x:c>
      <x:c r="BE185" s="289">
        <x:f t="shared" si="266"/>
        <x:v>387.11773087371057</x:v>
      </x:c>
    </x:row>
    <x:row r="186" ht="15.75" customHeight="1">
      <x:c r="A186" s="21">
        <x:v>308</x:v>
      </x:c>
      <x:c r="B186" s="21">
        <x:f t="shared" si="19"/>
        <x:v>488</x:v>
      </x:c>
      <x:c r="C186" s="21">
        <x:f t="shared" si="0"/>
        <x:v>488</x:v>
      </x:c>
      <x:c r="D186" s="21">
        <x:f t="shared" si="20"/>
        <x:v>308</x:v>
      </x:c>
      <x:c r="E186" s="22" t="n">
        <x:f t="shared" ref="E186:H186" si="291">A186*PI()/180</x:f>
        <x:v>5.375614096142535</x:v>
      </x:c>
      <x:c r="F186" s="22">
        <x:f t="shared" si="291"/>
        <x:v>8.5172067497323276</x:v>
      </x:c>
      <x:c r="G186" s="22">
        <x:f t="shared" si="291"/>
        <x:v>8.5172067497323276</x:v>
      </x:c>
      <x:c r="H186" s="22">
        <x:f t="shared" si="291"/>
        <x:v>5.3756140961425354</x:v>
      </x:c>
      <x:c r="I186" s="23"/>
      <x:c r="J186" s="23"/>
      <x:c r="K186" s="23"/>
      <x:c r="L186" s="249">
        <x:f t="shared" si="236"/>
        <x:v>-1077.6359033963433</x:v>
      </x:c>
      <x:c r="M186" s="249">
        <x:f t="shared" si="237"/>
        <x:v>1077.6359033963442</x:v>
      </x:c>
      <x:c r="N186" s="249">
        <x:f t="shared" si="238"/>
        <x:v>1077.6359033963442</x:v>
      </x:c>
      <x:c r="O186" s="249">
        <x:f t="shared" si="239"/>
        <x:v>-1077.6359033963433</x:v>
      </x:c>
      <x:c r="P186" s="249">
        <x:f t="shared" si="240"/>
        <x:v>2124.0599226447944</x:v>
      </x:c>
      <x:c r="Q186" s="249">
        <x:f t="shared" si="241"/>
        <x:v>-2486.7066170468488</x:v>
      </x:c>
      <x:c r="R186" s="249">
        <x:f t="shared" si="242"/>
        <x:v>-2486.7066170468488</x:v>
      </x:c>
      <x:c r="S186" s="249">
        <x:f t="shared" si="243"/>
        <x:v>2124.0599226447944</x:v>
      </x:c>
      <x:c r="T186" s="23"/>
      <x:c r="U186" s="23"/>
      <x:c r="V186" s="260">
        <x:f t="shared" si="257"/>
        <x:v>1549.9820820074656</x:v>
      </x:c>
      <x:c r="W186" s="260">
        <x:f t="shared" si="258"/>
        <x:v>2709.8107532015338</x:v>
      </x:c>
      <x:c r="X186" s="260">
        <x:f t="shared" si="259"/>
        <x:v>-1885.0239404983988</x:v>
      </x:c>
      <x:c r="Y186" s="260">
        <x:f t="shared" si="260"/>
        <x:v>-2374.7688947105994</x:v>
      </x:c>
      <x:c r="Z186" s="260">
        <x:f t="shared" si="261"/>
        <x:v>1808.4482963940291</x:v>
      </x:c>
      <x:c r="AA186" s="260">
        <x:f t="shared" si="262"/>
        <x:v>43.984331150723619</x:v>
      </x:c>
      <x:c r="AB186" s="260">
        <x:f t="shared" si="263"/>
        <x:v>-1947.2271781436618</x:v>
      </x:c>
      <x:c r="AC186" s="260">
        <x:f t="shared" si="264"/>
        <x:v>-182.76321290035469</x:v>
      </x:c>
      <x:c r="AD186" s="260"/>
      <x:c r="AE186" s="282">
        <x:f t="shared" si="39"/>
        <x:v>0</x:v>
      </x:c>
      <x:c r="AF186" s="282">
        <x:f t="shared" si="10"/>
        <x:v>-277.55776349926384</x:v>
      </x:c>
      <x:c r="AJ186" s="272">
        <x:f t="shared" si="244"/>
        <x:v>-361.68965927880583</x:v>
      </x:c>
      <x:c r="AK186" s="272">
        <x:f t="shared" si="245"/>
        <x:v>-4.3984331150723621</x:v>
      </x:c>
      <x:c r="AL186" s="272">
        <x:f t="shared" si="246"/>
        <x:v>-194.72271781436621</x:v>
      </x:c>
      <x:c r="AM186" s="272">
        <x:f t="shared" si="247"/>
        <x:v>-36.552642580070938</x:v>
      </x:c>
      <x:c r="AN186" s="272">
        <x:f t="shared" si="248"/>
        <x:v>309.99641640149315</x:v>
      </x:c>
      <x:c r="AO186" s="272">
        <x:f t="shared" si="249"/>
        <x:v>270.98107532015337</x:v>
      </x:c>
      <x:c r="AP186" s="272">
        <x:f t="shared" si="250"/>
        <x:v>188.50239404983989</x:v>
      </x:c>
      <x:c r="AQ186" s="272">
        <x:f t="shared" si="251"/>
        <x:v>474.95377894211992</x:v>
      </x:c>
      <x:c r="AR186" s="272"/>
      <x:c r="AS186" s="286">
        <x:f t="shared" si="32"/>
        <x:v>-597.36345278831539</x:v>
      </x:c>
      <x:c r="AT186" s="286">
        <x:f t="shared" si="33"/>
        <x:v>1244.4336647136063</x:v>
      </x:c>
      <x:c r="AY186" s="279">
        <x:f t="shared" si="252"/>
        <x:v>529.93760260596116</x:v>
      </x:c>
      <x:c r="AZ186" s="279">
        <x:f t="shared" si="253"/>
        <x:v>-529.93760260596116</x:v>
      </x:c>
      <x:c r="BA186" s="279">
        <x:f t="shared" si="254"/>
        <x:v>156.97466937973797</x:v>
      </x:c>
      <x:c r="BB186" s="279">
        <x:f t="shared" si="255"/>
        <x:v>156.97466937973797</x:v>
      </x:c>
      <x:c r="BC186" s="279"/>
      <x:c r="BD186" s="289">
        <x:f t="shared" si="265"/>
        <x:v>0</x:v>
      </x:c>
      <x:c r="BE186" s="289">
        <x:f t="shared" si="266"/>
        <x:v>313.94933875947595</x:v>
      </x:c>
    </x:row>
    <x:row r="187" ht="15.75" customHeight="1">
      <x:c r="A187" s="21">
        <x:v>310</x:v>
      </x:c>
      <x:c r="B187" s="21">
        <x:f t="shared" si="19"/>
        <x:v>490</x:v>
      </x:c>
      <x:c r="C187" s="21">
        <x:f t="shared" si="0"/>
        <x:v>490</x:v>
      </x:c>
      <x:c r="D187" s="21">
        <x:f t="shared" si="20"/>
        <x:v>310</x:v>
      </x:c>
      <x:c r="E187" s="22" t="n">
        <x:f t="shared" ref="E187:H187" si="292">A187*PI()/180</x:f>
        <x:v>5.410520681182422</x:v>
      </x:c>
      <x:c r="F187" s="22">
        <x:f t="shared" si="292"/>
        <x:v>8.5521133347722138</x:v>
      </x:c>
      <x:c r="G187" s="22">
        <x:f t="shared" si="292"/>
        <x:v>8.5521133347722138</x:v>
      </x:c>
      <x:c r="H187" s="22">
        <x:f t="shared" si="292"/>
        <x:v>5.4105206811824216</x:v>
      </x:c>
      <x:c r="I187" s="23"/>
      <x:c r="J187" s="23"/>
      <x:c r="K187" s="23"/>
      <x:c r="L187" s="249">
        <x:f t="shared" si="236"/>
        <x:v>-1047.5961041443675</x:v>
      </x:c>
      <x:c r="M187" s="249">
        <x:f t="shared" si="237"/>
        <x:v>1047.5961041443684</x:v>
      </x:c>
      <x:c r="N187" s="249">
        <x:f t="shared" si="238"/>
        <x:v>1047.5961041443684</x:v>
      </x:c>
      <x:c r="O187" s="249">
        <x:f t="shared" si="239"/>
        <x:v>-1047.5961041443675</x:v>
      </x:c>
      <x:c r="P187" s="249">
        <x:f t="shared" si="240"/>
        <x:v>2276.8074118054142</x:v>
      </x:c>
      <x:c r="Q187" s="249">
        <x:f t="shared" si="241"/>
        <x:v>-2537.1101738342823</x:v>
      </x:c>
      <x:c r="R187" s="249">
        <x:f t="shared" si="242"/>
        <x:v>-2537.1101738342823</x:v>
      </x:c>
      <x:c r="S187" s="249">
        <x:f t="shared" si="243"/>
        <x:v>2276.8074118054142</x:v>
      </x:c>
      <x:c r="T187" s="23"/>
      <x:c r="U187" s="23"/>
      <x:c r="V187" s="260">
        <x:f t="shared" si="257"/>
        <x:v>1702.5980943707561</x:v>
      </x:c>
      <x:c r="W187" s="260">
        <x:f t="shared" si="258"/>
        <x:v>2744.881834197909</x:v>
      </x:c>
      <x:c r="X187" s="260">
        <x:f t="shared" si="259"/>
        <x:v>-1943.0864884653831</x:v>
      </x:c>
      <x:c r="Y187" s="260">
        <x:f t="shared" si="260"/>
        <x:v>-2504.3934401032816</x:v>
      </x:c>
      <x:c r="Z187" s="260">
        <x:f t="shared" si="261"/>
        <x:v>1839.1490741415159</x:v>
      </x:c>
      <x:c r="AA187" s="260">
        <x:f t="shared" si="262"/>
        <x:v>-3.0574306537486109</x:v>
      </x:c>
      <x:c r="AB187" s="260">
        <x:f t="shared" si="263"/>
        <x:v>-1938.762628568837</x:v>
      </x:c>
      <x:c r="AC187" s="260">
        <x:f t="shared" si="264"/>
        <x:v>-96.556123773571016</x:v>
      </x:c>
      <x:c r="AD187" s="260"/>
      <x:c r="AE187" s="282">
        <x:f t="shared" si="39"/>
        <x:v>0</x:v>
      </x:c>
      <x:c r="AF187" s="282">
        <x:f t="shared" si="10"/>
        <x:v>-199.22710885464085</x:v>
      </x:c>
      <x:c r="AJ187" s="272">
        <x:f t="shared" si="244"/>
        <x:v>-367.8298148283032</x:v>
      </x:c>
      <x:c r="AK187" s="272">
        <x:f t="shared" si="245"/>
        <x:v>0.30574306537486112</x:v>
      </x:c>
      <x:c r="AL187" s="272">
        <x:f t="shared" si="246"/>
        <x:v>-193.87626285688373</x:v>
      </x:c>
      <x:c r="AM187" s="272">
        <x:f t="shared" si="247"/>
        <x:v>-19.311224754714203</x:v>
      </x:c>
      <x:c r="AN187" s="272">
        <x:f t="shared" si="248"/>
        <x:v>340.51961887415126</x:v>
      </x:c>
      <x:c r="AO187" s="272">
        <x:f t="shared" si="249"/>
        <x:v>274.48818341979091</x:v>
      </x:c>
      <x:c r="AP187" s="272">
        <x:f t="shared" si="250"/>
        <x:v>194.30864884653832</x:v>
      </x:c>
      <x:c r="AQ187" s="272">
        <x:f t="shared" si="251"/>
        <x:v>500.87868802065634</x:v>
      </x:c>
      <x:c r="AR187" s="272"/>
      <x:c r="AS187" s="286">
        <x:f t="shared" si="32"/>
        <x:v>-580.71155937452625</x:v>
      </x:c>
      <x:c r="AT187" s="286">
        <x:f t="shared" si="33"/>
        <x:v>1310.1951391611369</x:v>
      </x:c>
      <x:c r="AY187" s="279">
        <x:f t="shared" si="252"/>
        <x:v>539.59670064366435</x:v>
      </x:c>
      <x:c r="AZ187" s="279">
        <x:f t="shared" si="253"/>
        <x:v>-539.59670064366435</x:v>
      </x:c>
      <x:c r="BA187" s="279">
        <x:f t="shared" si="254"/>
        <x:v>119.62570851244027</x:v>
      </x:c>
      <x:c r="BB187" s="279">
        <x:f t="shared" si="255"/>
        <x:v>119.62570851244027</x:v>
      </x:c>
      <x:c r="BC187" s="279"/>
      <x:c r="BD187" s="289">
        <x:f t="shared" si="265"/>
        <x:v>0</x:v>
      </x:c>
      <x:c r="BE187" s="289">
        <x:f t="shared" si="266"/>
        <x:v>239.25141702488054</x:v>
      </x:c>
    </x:row>
    <x:row r="188" ht="15.75" customHeight="1">
      <x:c r="A188" s="21">
        <x:v>312</x:v>
      </x:c>
      <x:c r="B188" s="21">
        <x:f t="shared" si="19"/>
        <x:v>492</x:v>
      </x:c>
      <x:c r="C188" s="21">
        <x:f t="shared" si="0"/>
        <x:v>492</x:v>
      </x:c>
      <x:c r="D188" s="21">
        <x:f t="shared" si="20"/>
        <x:v>312</x:v>
      </x:c>
      <x:c r="E188" s="22" t="n">
        <x:f t="shared" ref="E188:H188" si="293">A188*PI()/180</x:f>
        <x:v>5.445427266222308</x:v>
      </x:c>
      <x:c r="F188" s="22">
        <x:f t="shared" si="293"/>
        <x:v>8.5870199198121018</x:v>
      </x:c>
      <x:c r="G188" s="22">
        <x:f t="shared" si="293"/>
        <x:v>8.5870199198121018</x:v>
      </x:c>
      <x:c r="H188" s="22">
        <x:f t="shared" si="293"/>
        <x:v>5.4454272662223078</x:v>
      </x:c>
      <x:c r="I188" s="23"/>
      <x:c r="J188" s="23"/>
      <x:c r="K188" s="23"/>
      <x:c r="L188" s="249">
        <x:f t="shared" si="236"/>
        <x:v>-1016.2799704093009</x:v>
      </x:c>
      <x:c r="M188" s="249">
        <x:f t="shared" si="237"/>
        <x:v>1016.2799704093001</x:v>
      </x:c>
      <x:c r="N188" s="249">
        <x:f t="shared" si="238"/>
        <x:v>1016.2799704093001</x:v>
      </x:c>
      <x:c r="O188" s="249">
        <x:f t="shared" si="239"/>
        <x:v>-1016.2799704093009</x:v>
      </x:c>
      <x:c r="P188" s="249">
        <x:f t="shared" si="240"/>
        <x:v>2427.2564768860925</x:v>
      </x:c>
      <x:c r="Q188" s="249">
        <x:f t="shared" si="241"/>
        <x:v>-2583.9471376507149</x:v>
      </x:c>
      <x:c r="R188" s="249">
        <x:f t="shared" si="242"/>
        <x:v>-2583.9471376507149</x:v>
      </x:c>
      <x:c r="S188" s="249">
        <x:f t="shared" si="243"/>
        <x:v>2427.2564768860925</x:v>
      </x:c>
      <x:c r="T188" s="23"/>
      <x:c r="U188" s="23"/>
      <x:c r="V188" s="260">
        <x:f t="shared" si="257"/>
        <x:v>1853.5790718303929</x:v>
      </x:c>
      <x:c r="W188" s="260">
        <x:f t="shared" si="258"/>
        <x:v>2776.1693808867426</x:v>
      </x:c>
      <x:c r="X188" s="260">
        <x:f t="shared" si="259"/>
        <x:v>-1998.342366246497</x:v>
      </x:c>
      <x:c r="Y188" s="260">
        <x:f t="shared" si="260"/>
        <x:v>-2631.4060864706394</x:v>
      </x:c>
      <x:c r="Z188" s="260">
        <x:f t="shared" si="261"/>
        <x:v>1867.7911037674944</x:v>
      </x:c>
      <x:c r="AA188" s="260">
        <x:f t="shared" si="262"/>
        <x:v>-49.913495723796359</x:v>
      </x:c>
      <x:c r="AB188" s="260">
        <x:f t="shared" si="263"/>
        <x:v>-1927.7540236484533</x:v>
      </x:c>
      <x:c r="AC188" s="260">
        <x:f t="shared" si="264"/>
        <x:v>-10.049424157163912</x:v>
      </x:c>
      <x:c r="AD188" s="260"/>
      <x:c r="AE188" s="282">
        <x:f t="shared" si="39"/>
        <x:v>0</x:v>
      </x:c>
      <x:c r="AF188" s="282">
        <x:f t="shared" si="10"/>
        <x:v>-119.92583976191918</x:v>
      </x:c>
      <x:c r="AJ188" s="272">
        <x:f t="shared" si="244"/>
        <x:v>-373.55822075349892</x:v>
      </x:c>
      <x:c r="AK188" s="272">
        <x:f t="shared" si="245"/>
        <x:v>4.9913495723796366</x:v>
      </x:c>
      <x:c r="AL188" s="272">
        <x:f t="shared" si="246"/>
        <x:v>-192.77540236484535</x:v>
      </x:c>
      <x:c r="AM188" s="272">
        <x:f t="shared" si="247"/>
        <x:v>-2.0098848314327826</x:v>
      </x:c>
      <x:c r="AN188" s="272">
        <x:f t="shared" si="248"/>
        <x:v>370.71581436607858</x:v>
      </x:c>
      <x:c r="AO188" s="272">
        <x:f t="shared" si="249"/>
        <x:v>277.61693808867426</x:v>
      </x:c>
      <x:c r="AP188" s="272">
        <x:f t="shared" si="250"/>
        <x:v>199.83423662464972</x:v>
      </x:c>
      <x:c r="AQ188" s="272">
        <x:f t="shared" si="251"/>
        <x:v>526.28121729412794</x:v>
      </x:c>
      <x:c r="AR188" s="272"/>
      <x:c r="AS188" s="286">
        <x:f t="shared" si="32"/>
        <x:v>-563.35215837739747</x:v>
      </x:c>
      <x:c r="AT188" s="286">
        <x:f t="shared" si="33"/>
        <x:v>1374.4482063735304</x:v>
      </x:c>
      <x:c r="AY188" s="279">
        <x:f t="shared" si="252"/>
        <x:v>546.62693779590211</x:v>
      </x:c>
      <x:c r="AZ188" s="279">
        <x:f t="shared" si="253"/>
        <x:v>-546.62693779590211</x:v>
      </x:c>
      <x:c r="BA188" s="279">
        <x:f t="shared" si="254"/>
        <x:v>81.693943218005074</x:v>
      </x:c>
      <x:c r="BB188" s="279">
        <x:f t="shared" si="255"/>
        <x:v>81.693943218005074</x:v>
      </x:c>
      <x:c r="BC188" s="279"/>
      <x:c r="BD188" s="289">
        <x:f t="shared" si="265"/>
        <x:v>0</x:v>
      </x:c>
      <x:c r="BE188" s="289">
        <x:f t="shared" si="266"/>
        <x:v>163.38788643601015</x:v>
      </x:c>
    </x:row>
    <x:row r="189" ht="15.75" customHeight="1">
      <x:c r="A189" s="21">
        <x:v>314</x:v>
      </x:c>
      <x:c r="B189" s="21">
        <x:f t="shared" si="19"/>
        <x:v>494</x:v>
      </x:c>
      <x:c r="C189" s="21">
        <x:f t="shared" si="0"/>
        <x:v>494</x:v>
      </x:c>
      <x:c r="D189" s="21">
        <x:f t="shared" si="20"/>
        <x:v>314</x:v>
      </x:c>
      <x:c r="E189" s="22" t="n">
        <x:f t="shared" ref="E189:H189" si="294">A189*PI()/180</x:f>
        <x:v>5.480333851262194</x:v>
      </x:c>
      <x:c r="F189" s="22">
        <x:f t="shared" si="294"/>
        <x:v>8.621926504851988</x:v>
      </x:c>
      <x:c r="G189" s="22">
        <x:f t="shared" si="294"/>
        <x:v>8.621926504851988</x:v>
      </x:c>
      <x:c r="H189" s="22">
        <x:f t="shared" si="294"/>
        <x:v>5.480333851262194</x:v>
      </x:c>
      <x:c r="I189" s="23"/>
      <x:c r="J189" s="23"/>
      <x:c r="K189" s="23"/>
      <x:c r="L189" s="249">
        <x:f t="shared" si="236"/>
        <x:v>-983.72565607621914</x:v>
      </x:c>
      <x:c r="M189" s="249">
        <x:f t="shared" si="237"/>
        <x:v>983.72565607621846</x:v>
      </x:c>
      <x:c r="N189" s="249">
        <x:f t="shared" si="238"/>
        <x:v>983.72565607621846</x:v>
      </x:c>
      <x:c r="O189" s="249">
        <x:f t="shared" si="239"/>
        <x:v>-983.72565607621914</x:v>
      </x:c>
      <x:c r="P189" s="249">
        <x:f t="shared" si="240"/>
        <x:v>2575.0345426973636</x:v>
      </x:c>
      <x:c r="Q189" s="249">
        <x:f t="shared" si="241"/>
        <x:v>-2627.3497210489822</x:v>
      </x:c>
      <x:c r="R189" s="249">
        <x:f t="shared" si="242"/>
        <x:v>-2627.3497210489822</x:v>
      </x:c>
      <x:c r="S189" s="249">
        <x:f t="shared" si="243"/>
        <x:v>2575.0345426973636</x:v>
      </x:c>
      <x:c r="T189" s="23"/>
      <x:c r="U189" s="23"/>
      <x:c r="V189" s="260">
        <x:f t="shared" si="257"/>
        <x:v>2002.566198934808</x:v>
      </x:c>
      <x:c r="W189" s="260">
        <x:f t="shared" si="258"/>
        <x:v>2803.8101425992404</x:v>
      </x:c>
      <x:c r="X189" s="260">
        <x:f t="shared" si="259"/>
        <x:v>-2050.8991214535458</x:v>
      </x:c>
      <x:c r="Y189" s="260">
        <x:f t="shared" si="260"/>
        <x:v>-2755.4772200805028</x:v>
      </x:c>
      <x:c r="Z189" s="260">
        <x:f t="shared" si="261"/>
        <x:v>1894.2670565131527</x:v>
      </x:c>
      <x:c r="AA189" s="260">
        <x:f t="shared" si="262"/>
        <x:v>-96.599210019430302</x:v>
      </x:c>
      <x:c r="AB189" s="260">
        <x:f t="shared" si="263"/>
        <x:v>-1914.2872085295414</x:v>
      </x:c>
      <x:c r="AC189" s="260">
        <x:f t="shared" si="264"/>
        <x:v>76.579058003040473</x:v>
      </x:c>
      <x:c r="AD189" s="260"/>
      <x:c r="AE189" s="282">
        <x:f t="shared" si="39"/>
        <x:v>0</x:v>
      </x:c>
      <x:c r="AF189" s="282">
        <x:f t="shared" si="10"/>
        <x:v>-40.040304032778522</x:v>
      </x:c>
      <x:c r="AJ189" s="272">
        <x:f t="shared" si="244"/>
        <x:v>-378.85341130263055</x:v>
      </x:c>
      <x:c r="AK189" s="272">
        <x:f t="shared" si="245"/>
        <x:v>9.6599210019430313</x:v>
      </x:c>
      <x:c r="AL189" s="272">
        <x:f t="shared" si="246"/>
        <x:v>-191.42872085295414</x:v>
      </x:c>
      <x:c r="AM189" s="272">
        <x:f t="shared" si="247"/>
        <x:v>15.315811600608095</x:v>
      </x:c>
      <x:c r="AN189" s="272">
        <x:f t="shared" si="248"/>
        <x:v>400.51323978696161</x:v>
      </x:c>
      <x:c r="AO189" s="272">
        <x:f t="shared" si="249"/>
        <x:v>280.38101425992403</x:v>
      </x:c>
      <x:c r="AP189" s="272">
        <x:f t="shared" si="250"/>
        <x:v>205.08991214535459</x:v>
      </x:c>
      <x:c r="AQ189" s="272">
        <x:f t="shared" si="251"/>
        <x:v>551.0954440161006</x:v>
      </x:c>
      <x:c r="AR189" s="272"/>
      <x:c r="AS189" s="286">
        <x:f t="shared" si="32"/>
        <x:v>-545.30639955303366</x:v>
      </x:c>
      <x:c r="AT189" s="286">
        <x:f t="shared" si="33"/>
        <x:v>1437.0796102083409</x:v>
      </x:c>
      <x:c r="AY189" s="279">
        <x:f t="shared" si="252"/>
        <x:v>550.99406345394596</x:v>
      </x:c>
      <x:c r="AZ189" s="279">
        <x:f t="shared" si="253"/>
        <x:v>-550.99406345394596</x:v>
      </x:c>
      <x:c r="BA189" s="279">
        <x:f t="shared" si="254"/>
        <x:v>43.364173244058215</x:v>
      </x:c>
      <x:c r="BB189" s="279">
        <x:f t="shared" si="255"/>
        <x:v>43.364173244058215</x:v>
      </x:c>
      <x:c r="BC189" s="279"/>
      <x:c r="BD189" s="289">
        <x:f t="shared" si="265"/>
        <x:v>0</x:v>
      </x:c>
      <x:c r="BE189" s="289">
        <x:f t="shared" si="266"/>
        <x:v>86.728346488116429</x:v>
      </x:c>
    </x:row>
    <x:row r="190" ht="15.75" customHeight="1">
      <x:c r="A190" s="21">
        <x:v>316</x:v>
      </x:c>
      <x:c r="B190" s="21">
        <x:f t="shared" si="19"/>
        <x:v>496</x:v>
      </x:c>
      <x:c r="C190" s="21">
        <x:f t="shared" si="0"/>
        <x:v>496</x:v>
      </x:c>
      <x:c r="D190" s="21">
        <x:f t="shared" si="20"/>
        <x:v>316</x:v>
      </x:c>
      <x:c r="E190" s="22" t="n">
        <x:f t="shared" ref="E190:H190" si="295">A190*PI()/180</x:f>
        <x:v>5.515240436302081</x:v>
      </x:c>
      <x:c r="F190" s="22">
        <x:f t="shared" si="295"/>
        <x:v>8.6568330898918742</x:v>
      </x:c>
      <x:c r="G190" s="22">
        <x:f t="shared" si="295"/>
        <x:v>8.6568330898918742</x:v>
      </x:c>
      <x:c r="H190" s="22">
        <x:f t="shared" si="295"/>
        <x:v>5.5152404363020811</x:v>
      </x:c>
      <x:c r="I190" s="23"/>
      <x:c r="J190" s="23"/>
      <x:c r="K190" s="23"/>
      <x:c r="L190" s="249">
        <x:f t="shared" si="236"/>
        <x:v>-949.97282356252879</x:v>
      </x:c>
      <x:c r="M190" s="249">
        <x:f t="shared" si="237"/>
        <x:v>949.9728235625289</x:v>
      </x:c>
      <x:c r="N190" s="249">
        <x:f t="shared" si="238"/>
        <x:v>949.9728235625289</x:v>
      </x:c>
      <x:c r="O190" s="249">
        <x:f t="shared" si="239"/>
        <x:v>-949.97282356252879</x:v>
      </x:c>
      <x:c r="P190" s="249">
        <x:f t="shared" si="240"/>
        <x:v>2719.7708937239954</x:v>
      </x:c>
      <x:c r="Q190" s="249">
        <x:f t="shared" si="241"/>
        <x:v>-2667.4557153723813</x:v>
      </x:c>
      <x:c r="R190" s="249">
        <x:f t="shared" si="242"/>
        <x:v>-2667.4557153723813</x:v>
      </x:c>
      <x:c r="S190" s="249">
        <x:f t="shared" si="243"/>
        <x:v>2719.7708937239954</x:v>
      </x:c>
      <x:c r="T190" s="23"/>
      <x:c r="U190" s="23"/>
      <x:c r="V190" s="260">
        <x:f t="shared" si="257"/>
        <x:v>2149.201801057065</x:v>
      </x:c>
      <x:c r="W190" s="260">
        <x:f t="shared" si="258"/>
        <x:v>2827.9466000872599</x:v>
      </x:c>
      <x:c r="X190" s="260">
        <x:f t="shared" si="259"/>
        <x:v>-2100.868878538331</x:v>
      </x:c>
      <x:c r="Y190" s="260">
        <x:f t="shared" si="260"/>
        <x:v>-2876.2795226059939</x:v>
      </x:c>
      <x:c r="Z190" s="260">
        <x:f t="shared" si="261"/>
        <x:v>1918.4717089883427</x:v>
      </x:c>
      <x:c r="AA190" s="260">
        <x:f t="shared" si="262"/>
        <x:v>-143.13066070920274</x:v>
      </x:c>
      <x:c r="AB190" s="260">
        <x:f t="shared" si="263"/>
        <x:v>-1898.4515569719551</x:v>
      </x:c>
      <x:c r="AC190" s="260">
        <x:f t="shared" si="264"/>
        <x:v>163.15081272559041</x:v>
      </x:c>
      <x:c r="AD190" s="260"/>
      <x:c r="AE190" s="282">
        <x:f t="shared" si="39"/>
        <x:v>0</x:v>
      </x:c>
      <x:c r="AF190" s="282">
        <x:f t="shared" si="10"/>
        <x:v>40.040304032775339</x:v>
      </x:c>
      <x:c r="AJ190" s="272">
        <x:f t="shared" si="244"/>
        <x:v>-383.69434179766859</x:v>
      </x:c>
      <x:c r="AK190" s="272">
        <x:f t="shared" si="245"/>
        <x:v>14.313066070920275</x:v>
      </x:c>
      <x:c r="AL190" s="272">
        <x:f t="shared" si="246"/>
        <x:v>-189.84515569719554</x:v>
      </x:c>
      <x:c r="AM190" s="272">
        <x:f t="shared" si="247"/>
        <x:v>32.630162545118083</x:v>
      </x:c>
      <x:c r="AN190" s="272">
        <x:f t="shared" si="248"/>
        <x:v>429.84036021141304</x:v>
      </x:c>
      <x:c r="AO190" s="272">
        <x:f t="shared" si="249"/>
        <x:v>282.794660008726</x:v>
      </x:c>
      <x:c r="AP190" s="272">
        <x:f t="shared" si="250"/>
        <x:v>210.0868878538331</x:v>
      </x:c>
      <x:c r="AQ190" s="272">
        <x:f t="shared" si="251"/>
        <x:v>575.25590452119877</x:v>
      </x:c>
      <x:c r="AR190" s="272"/>
      <x:c r="AS190" s="286">
        <x:f t="shared" si="32"/>
        <x:v>-526.59626887882575</x:v>
      </x:c>
      <x:c r="AT190" s="286">
        <x:f t="shared" si="33"/>
        <x:v>1497.9778125951709</x:v>
      </x:c>
      <x:c r="AY190" s="279">
        <x:f t="shared" si="252"/>
        <x:v>552.67680142057179</x:v>
      </x:c>
      <x:c r="AZ190" s="279">
        <x:f t="shared" si="253"/>
        <x:v>-552.67680142057179</x:v>
      </x:c>
      <x:c r="BA190" s="279">
        <x:f t="shared" si="254"/>
        <x:v>4.823137377016784</x:v>
      </x:c>
      <x:c r="BB190" s="279">
        <x:f t="shared" si="255"/>
        <x:v>4.823137377016784</x:v>
      </x:c>
      <x:c r="BC190" s="279"/>
      <x:c r="BD190" s="289">
        <x:f t="shared" si="265"/>
        <x:v>0</x:v>
      </x:c>
      <x:c r="BE190" s="289">
        <x:f t="shared" si="266"/>
        <x:v>9.646274754033568</x:v>
      </x:c>
    </x:row>
    <x:row r="191" ht="15.75" customHeight="1">
      <x:c r="A191" s="21">
        <x:v>318</x:v>
      </x:c>
      <x:c r="B191" s="21">
        <x:f t="shared" si="19"/>
        <x:v>498</x:v>
      </x:c>
      <x:c r="C191" s="21">
        <x:f t="shared" si="0"/>
        <x:v>498</x:v>
      </x:c>
      <x:c r="D191" s="21">
        <x:f t="shared" si="20"/>
        <x:v>318</x:v>
      </x:c>
      <x:c r="E191" s="22" t="n">
        <x:f t="shared" ref="E191:H191" si="296">A191*PI()/180</x:f>
        <x:v>5.550147021341968</x:v>
      </x:c>
      <x:c r="F191" s="22">
        <x:f t="shared" si="296"/>
        <x:v>8.6917396749317604</x:v>
      </x:c>
      <x:c r="G191" s="22">
        <x:f t="shared" si="296"/>
        <x:v>8.6917396749317604</x:v>
      </x:c>
      <x:c r="H191" s="22">
        <x:f t="shared" si="296"/>
        <x:v>5.5501470213419681</x:v>
      </x:c>
      <x:c r="I191" s="23"/>
      <x:c r="J191" s="23"/>
      <x:c r="K191" s="23"/>
      <x:c r="L191" s="249">
        <x:f t="shared" si="236"/>
        <x:v>-915.06259549542301</x:v>
      </x:c>
      <x:c r="M191" s="249">
        <x:f t="shared" si="237"/>
        <x:v>915.06259549542415</x:v>
      </x:c>
      <x:c r="N191" s="249">
        <x:f t="shared" si="238"/>
        <x:v>915.06259549542415</x:v>
      </x:c>
      <x:c r="O191" s="249">
        <x:f t="shared" si="239"/>
        <x:v>-915.06259549542301</x:v>
      </x:c>
      <x:c r="P191" s="249">
        <x:f t="shared" si="240"/>
        <x:v>2861.0980547132435</x:v>
      </x:c>
      <x:c r="Q191" s="249">
        <x:f t="shared" si="241"/>
        <x:v>-2704.4073939486229</x:v>
      </x:c>
      <x:c r="R191" s="249">
        <x:f t="shared" si="242"/>
        <x:v>-2704.4073939486229</x:v>
      </x:c>
      <x:c r="S191" s="249">
        <x:f t="shared" si="243"/>
        <x:v>2861.0980547132435</x:v>
      </x:c>
      <x:c r="T191" s="23"/>
      <x:c r="U191" s="23"/>
      <x:c r="V191" s="260">
        <x:f t="shared" si="257"/>
        <x:v>2293.1306383843271</x:v>
      </x:c>
      <x:c r="W191" s="260">
        <x:f t="shared" si="258"/>
        <x:v>2848.7259337144178</x:v>
      </x:c>
      <x:c r="X191" s="260">
        <x:f t="shared" si="259"/>
        <x:v>-2148.3673439682243</x:v>
      </x:c>
      <x:c r="Y191" s="260">
        <x:f t="shared" si="260"/>
        <x:v>-2993.4892281305197</x:v>
      </x:c>
      <x:c r="Z191" s="260">
        <x:f t="shared" si="261"/>
        <x:v>1940.3024268556217</x:v>
      </x:c>
      <x:c r="AA191" s="260">
        <x:f t="shared" si="262"/>
        <x:v>-189.52430108490955</x:v>
      </x:c>
      <x:c r="AB191" s="260">
        <x:f t="shared" si="263"/>
        <x:v>-1880.3395069746639</x:v>
      </x:c>
      <x:c r="AC191" s="260">
        <x:f t="shared" si="264"/>
        <x:v>249.48722096586948</x:v>
      </x:c>
      <x:c r="AD191" s="260"/>
      <x:c r="AE191" s="282">
        <x:f t="shared" si="39"/>
        <x:v>0</x:v>
      </x:c>
      <x:c r="AF191" s="282">
        <x:f t="shared" si="10"/>
        <x:v>119.92583976191759</x:v>
      </x:c>
      <x:c r="AJ191" s="272">
        <x:f t="shared" si="244"/>
        <x:v>-388.06048537112434</x:v>
      </x:c>
      <x:c r="AK191" s="272">
        <x:f t="shared" si="245"/>
        <x:v>18.952430108490955</x:v>
      </x:c>
      <x:c r="AL191" s="272">
        <x:f t="shared" si="246"/>
        <x:v>-188.03395069746639</x:v>
      </x:c>
      <x:c r="AM191" s="272">
        <x:f t="shared" si="247"/>
        <x:v>49.897444193173897</x:v>
      </x:c>
      <x:c r="AN191" s="272">
        <x:f t="shared" si="248"/>
        <x:v>458.62612767686545</x:v>
      </x:c>
      <x:c r="AO191" s="272">
        <x:f t="shared" si="249"/>
        <x:v>284.87259337144178</x:v>
      </x:c>
      <x:c r="AP191" s="272">
        <x:f t="shared" si="250"/>
        <x:v>214.83673439682244</x:v>
      </x:c>
      <x:c r="AQ191" s="272">
        <x:f t="shared" si="251"/>
        <x:v>598.69784562610391</x:v>
      </x:c>
      <x:c r="AR191" s="272"/>
      <x:c r="AS191" s="286">
        <x:f t="shared" si="32"/>
        <x:v>-507.24456176692593</x:v>
      </x:c>
      <x:c r="AT191" s="286">
        <x:f t="shared" si="33"/>
        <x:v>1557.0333010712336</x:v>
      </x:c>
      <x:c r="AY191" s="279">
        <x:f t="shared" si="252"/>
        <x:v>551.66695356555442</x:v>
      </x:c>
      <x:c r="AZ191" s="279">
        <x:f t="shared" si="253"/>
        <x:v>-551.66695356555442</x:v>
      </x:c>
      <x:c r="BA191" s="279">
        <x:f t="shared" si="254"/>
        <x:v>-33.741396330504422</x:v>
      </x:c>
      <x:c r="BB191" s="279">
        <x:f t="shared" si="255"/>
        <x:v>-33.741396330504422</x:v>
      </x:c>
      <x:c r="BC191" s="279"/>
      <x:c r="BD191" s="289">
        <x:f t="shared" si="265"/>
        <x:v>0</x:v>
      </x:c>
      <x:c r="BE191" s="289">
        <x:f t="shared" si="266"/>
        <x:v>-67.482792661008844</x:v>
      </x:c>
    </x:row>
    <x:row r="192" ht="15.75" customHeight="1">
      <x:c r="A192" s="21">
        <x:v>320</x:v>
      </x:c>
      <x:c r="B192" s="21">
        <x:f t="shared" si="19"/>
        <x:v>500</x:v>
      </x:c>
      <x:c r="C192" s="21">
        <x:f t="shared" si="0"/>
        <x:v>500</x:v>
      </x:c>
      <x:c r="D192" s="21">
        <x:f t="shared" si="20"/>
        <x:v>320</x:v>
      </x:c>
      <x:c r="E192" s="22" t="n">
        <x:f t="shared" ref="E192:H192" si="297">A192*PI()/180</x:f>
        <x:v>5.585053606381854</x:v>
      </x:c>
      <x:c r="F192" s="22">
        <x:f t="shared" si="297"/>
        <x:v>8.7266462599716466</x:v>
      </x:c>
      <x:c r="G192" s="22">
        <x:f t="shared" si="297"/>
        <x:v>8.7266462599716466</x:v>
      </x:c>
      <x:c r="H192" s="22">
        <x:f t="shared" si="297"/>
        <x:v>5.5850536063818543</x:v>
      </x:c>
      <x:c r="I192" s="23"/>
      <x:c r="J192" s="23"/>
      <x:c r="K192" s="23"/>
      <x:c r="L192" s="249" t="n">
        <x:f t="shared" ref="L192:L212" si="298">Mrot*Omega^2*$C$6*SIN(E192)</x:f>
        <x:v>-879.0375046102944</x:v>
      </x:c>
      <x:c r="M192" s="249" t="n">
        <x:f t="shared" ref="M192:M212" si="299">Mrot*Omega^2*$C$6*SIN(F192)</x:f>
        <x:v>879.0375046102955</x:v>
      </x:c>
      <x:c r="N192" s="249" t="n">
        <x:f t="shared" ref="N192:N212" si="300">Mrot*Omega^2*$C$6*SIN(G192)</x:f>
        <x:v>879.0375046102955</x:v>
      </x:c>
      <x:c r="O192" s="249" t="n">
        <x:f t="shared" ref="O192:O212" si="301">Mrot*Omega^2*$C$6*SIN(H192)</x:f>
        <x:v>-879.0375046102944</x:v>
      </x:c>
      <x:c r="P192" s="249" t="n">
        <x:f t="shared" ref="P192:P212" si="302">(Mrot+Malt)*(Omega^2)*$C$6*COS(E192)+Malt*(Omega^2)*$C$6*lambda*COS(2*E192)</x:f>
        <x:v>2998.653169583711</x:v>
      </x:c>
      <x:c r="Q192" s="249" t="n">
        <x:f t="shared" ref="Q192:Q212" si="303">(Mrot+Malt)*Omega^2*$C$6*COS(F192)+Malt*Omega^2*$C$6*lambda*COS(2*F192)</x:f>
        <x:v>-2738.3504075548417</x:v>
      </x:c>
      <x:c r="R192" s="249" t="n">
        <x:f t="shared" ref="R192:R212" si="304">(Mrot+Malt)*Omega^2*$C$6*COS(G192)+Malt*Omega^2*$C$6*lambda*COS(2*G192)</x:f>
        <x:v>-2738.3504075548417</x:v>
      </x:c>
      <x:c r="S192" s="249" t="n">
        <x:f t="shared" ref="S192:S212" si="305">(Mrot+Malt)*Omega^2*$C$6*COS(H192)+Malt*Omega^2*$C$6*lambda*COS(2*H192)</x:f>
        <x:v>2998.653169583711</x:v>
      </x:c>
      <x:c r="T192" s="23"/>
      <x:c r="U192" s="23"/>
      <x:c r="V192" s="260">
        <x:f t="shared" si="257"/>
        <x:v>2434.0011990365765</x:v>
      </x:c>
      <x:c r="W192" s="260">
        <x:f t="shared" si="258"/>
        <x:v>2866.2989838257699</x:v>
      </x:c>
      <x:c r="X192" s="260">
        <x:f t="shared" si="259"/>
        <x:v>-2193.5128049419473</x:v>
      </x:c>
      <x:c r="Y192" s="260">
        <x:f t="shared" si="260"/>
        <x:v>-3106.7873779203983</x:v>
      </x:c>
      <x:c r="Z192" s="260">
        <x:f t="shared" si="261"/>
        <x:v>1959.6596462279972</x:v>
      </x:c>
      <x:c r="AA192" s="260">
        <x:f t="shared" si="262"/>
        <x:v>-235.79657416218163</x:v>
      </x:c>
      <x:c r="AB192" s="260">
        <x:f t="shared" si="263"/>
        <x:v>-1860.0460918006775</x:v>
      </x:c>
      <x:c r="AC192" s="260">
        <x:f t="shared" si="264"/>
        <x:v>335.41012858950353</x:v>
      </x:c>
      <x:c r="AD192" s="260"/>
      <x:c r="AE192" s="282">
        <x:f t="shared" si="39"/>
        <x:v>0</x:v>
      </x:c>
      <x:c r="AF192" s="282">
        <x:f t="shared" si="10"/>
        <x:v>199.22710885464176</x:v>
      </x:c>
      <x:c r="AJ192" s="272" t="n">
        <x:f t="shared" ref="AJ192:AJ212" si="306">-Z192*O_O1</x:f>
        <x:v>-391.93192924559946</x:v>
      </x:c>
      <x:c r="AK192" s="272" t="n">
        <x:f t="shared" ref="AK192:AK212" si="307">-AA192*O_O2</x:f>
        <x:v>23.579657416218165</x:v>
      </x:c>
      <x:c r="AL192" s="272" t="n">
        <x:f t="shared" ref="AL192:AL212" si="308">AB192*O_O3</x:f>
        <x:v>-186.00460918006775</x:v>
      </x:c>
      <x:c r="AM192" s="272" t="n">
        <x:f t="shared" ref="AM192:AM212" si="309">AC192*O_O4</x:f>
        <x:v>67.0820257179007</x:v>
      </x:c>
      <x:c r="AN192" s="272" t="n">
        <x:f t="shared" ref="AN192:AN212" si="310">V192*O_O1</x:f>
        <x:v>486.80023980731534</x:v>
      </x:c>
      <x:c r="AO192" s="272" t="n">
        <x:f t="shared" ref="AO192:AO212" si="311">W192*O_O2</x:f>
        <x:v>286.629898382577</x:v>
      </x:c>
      <x:c r="AP192" s="272" t="n">
        <x:f t="shared" ref="AP192:AP212" si="312">-X192*O_O3</x:f>
        <x:v>219.35128049419473</x:v>
      </x:c>
      <x:c r="AQ192" s="272" t="n">
        <x:f t="shared" ref="AQ192:AQ212" si="313">-Y192*O_O4</x:f>
        <x:v>621.3574755840797</x:v>
      </x:c>
      <x:c r="AR192" s="272"/>
      <x:c r="AS192" s="286">
        <x:f t="shared" si="32"/>
        <x:v>-487.27485529154842</x:v>
      </x:c>
      <x:c r="AT192" s="286">
        <x:f t="shared" si="33"/>
        <x:v>1614.1388942681667</x:v>
      </x:c>
      <x:c r="AY192" s="279" t="n">
        <x:f t="shared" ref="AY192:AY212" si="314">m1_*R_den*wm^2*SIN(RADIANS(Vdeg/2+r_*A192+phy_deg))</x:f>
        <x:v>547.9694397661337</x:v>
      </x:c>
      <x:c r="AZ192" s="279" t="n">
        <x:f t="shared" ref="AZ192:AZ212" si="315">m2_*R_den*wm^2*SIN(RADIANS(-(Vdeg/2+r_*A192+phy_deg)))</x:f>
        <x:v>-547.9694397661337</x:v>
      </x:c>
      <x:c r="BA192" s="279" t="n">
        <x:f t="shared" ref="BA192:BA212" si="316">m1_*R_den*wm^2*COS(RADIANS(Vdeg/2+r_*A192+phy_deg))</x:f>
        <x:v>-72.14154534677769</x:v>
      </x:c>
      <x:c r="BB192" s="279" t="n">
        <x:f t="shared" ref="BB192:BB212" si="317">m2_*R_den*wm^2*COS(RADIANS(-(Vdeg/2+r_*A192+phy_deg)))</x:f>
        <x:v>-72.14154534677769</x:v>
      </x:c>
      <x:c r="BC192" s="279"/>
      <x:c r="BD192" s="289">
        <x:f t="shared" si="265"/>
        <x:v>0</x:v>
      </x:c>
      <x:c r="BE192" s="289">
        <x:f t="shared" si="266"/>
        <x:v>-144.28309069355538</x:v>
      </x:c>
    </x:row>
    <x:row r="193" ht="15.75" customHeight="1">
      <x:c r="A193" s="21">
        <x:v>322</x:v>
      </x:c>
      <x:c r="B193" s="21">
        <x:f t="shared" si="19"/>
        <x:v>502</x:v>
      </x:c>
      <x:c r="C193" s="21">
        <x:f t="shared" si="0"/>
        <x:v>502</x:v>
      </x:c>
      <x:c r="D193" s="21">
        <x:f t="shared" si="20"/>
        <x:v>322</x:v>
      </x:c>
      <x:c r="E193" s="22" t="n">
        <x:f t="shared" ref="E193:H193" si="318">A193*PI()/180</x:f>
        <x:v>5.6199601914217405</x:v>
      </x:c>
      <x:c r="F193" s="22">
        <x:f t="shared" si="318"/>
        <x:v>8.7615528450115345</x:v>
      </x:c>
      <x:c r="G193" s="22">
        <x:f t="shared" si="318"/>
        <x:v>8.7615528450115345</x:v>
      </x:c>
      <x:c r="H193" s="22">
        <x:f t="shared" si="318"/>
        <x:v>5.6199601914217405</x:v>
      </x:c>
      <x:c r="I193" s="23"/>
      <x:c r="J193" s="23"/>
      <x:c r="K193" s="23"/>
      <x:c r="L193" s="249">
        <x:f t="shared" si="298"/>
        <x:v>-841.9414419311455</x:v>
      </x:c>
      <x:c r="M193" s="249">
        <x:f t="shared" si="299"/>
        <x:v>841.94144193114471</x:v>
      </x:c>
      <x:c r="N193" s="249">
        <x:f t="shared" si="300"/>
        <x:v>841.94144193114471</x:v>
      </x:c>
      <x:c r="O193" s="249">
        <x:f t="shared" si="301"/>
        <x:v>-841.9414419311455</x:v>
      </x:c>
      <x:c r="P193" s="249">
        <x:f t="shared" si="302"/>
        <x:v>3132.0793724381033</x:v>
      </x:c>
      <x:c r="Q193" s="249">
        <x:f t="shared" si="303"/>
        <x:v>-2769.4326780360498</x:v>
      </x:c>
      <x:c r="R193" s="249">
        <x:f t="shared" si="304"/>
        <x:v>-2769.4326780360498</x:v>
      </x:c>
      <x:c r="S193" s="249">
        <x:f t="shared" si="305"/>
        <x:v>3132.0793724381033</x:v>
      </x:c>
      <x:c r="T193" s="23"/>
      <x:c r="U193" s="23"/>
      <x:c r="V193" s="260">
        <x:f t="shared" si="257"/>
        <x:v>2571.4669855477355</x:v>
      </x:c>
      <x:c r="W193" s="260">
        <x:f t="shared" si="258"/>
        <x:v>2880.8192087540501</x:v>
      </x:c>
      <x:c r="X193" s="260">
        <x:f t="shared" si="259"/>
        <x:v>-2236.4251270568029</x:v>
      </x:c>
      <x:c r="Y193" s="260">
        <x:f t="shared" si="260"/>
        <x:v>-3215.8610672449827</x:v>
      </x:c>
      <x:c r="Z193" s="260">
        <x:f t="shared" si="261"/>
        <x:v>1976.4473504577354</x:v>
      </x:c>
      <x:c r="AA193" s="260">
        <x:f t="shared" si="262"/>
        <x:v>-281.96353716165368</x:v>
      </x:c>
      <x:c r="AB193" s="260">
        <x:f t="shared" si="263"/>
        <x:v>-1837.6684687081029</x:v>
      </x:c>
      <x:c r="AC193" s="260">
        <x:f t="shared" si="264"/>
        <x:v>420.74241891128452</x:v>
      </x:c>
      <x:c r="AD193" s="260"/>
      <x:c r="AE193" s="282">
        <x:f t="shared" si="39"/>
        <x:v>0</x:v>
      </x:c>
      <x:c r="AF193" s="282">
        <x:f t="shared" si="10"/>
        <x:v>277.55776349926339</x:v>
      </x:c>
      <x:c r="AJ193" s="272">
        <x:f t="shared" si="306"/>
        <x:v>-395.28947009154712</x:v>
      </x:c>
      <x:c r="AK193" s="272">
        <x:f t="shared" si="307"/>
        <x:v>28.196353716165369</x:v>
      </x:c>
      <x:c r="AL193" s="272">
        <x:f t="shared" si="308"/>
        <x:v>-183.7668468708103</x:v>
      </x:c>
      <x:c r="AM193" s="272">
        <x:f t="shared" si="309"/>
        <x:v>84.148483782256903</x:v>
      </x:c>
      <x:c r="AN193" s="272">
        <x:f t="shared" si="310"/>
        <x:v>514.29339710954707</x:v>
      </x:c>
      <x:c r="AO193" s="272">
        <x:f t="shared" si="311"/>
        <x:v>288.08192087540505</x:v>
      </x:c>
      <x:c r="AP193" s="272">
        <x:f t="shared" si="312"/>
        <x:v>223.6425127056803</x:v>
      </x:c>
      <x:c r="AQ193" s="272">
        <x:f t="shared" si="313"/>
        <x:v>643.17221344899656</x:v>
      </x:c>
      <x:c r="AR193" s="272"/>
      <x:c r="AS193" s="286">
        <x:f t="shared" si="32"/>
        <x:v>-466.71147946393512</x:v>
      </x:c>
      <x:c r="AT193" s="286">
        <x:f t="shared" si="33"/>
        <x:v>1669.1900441396288</x:v>
      </x:c>
      <x:c r="AY193" s="279">
        <x:f t="shared" si="314"/>
        <x:v>541.60227393786818</x:v>
      </x:c>
      <x:c r="AZ193" s="279">
        <x:f t="shared" si="315"/>
        <x:v>-541.60227393786818</x:v>
      </x:c>
      <x:c r="BA193" s="279">
        <x:f t="shared" si="316"/>
        <x:v>-110.19022800576326</x:v>
      </x:c>
      <x:c r="BB193" s="279">
        <x:f t="shared" si="317"/>
        <x:v>-110.19022800576326</x:v>
      </x:c>
      <x:c r="BC193" s="279"/>
      <x:c r="BD193" s="289">
        <x:f t="shared" si="265"/>
        <x:v>0</x:v>
      </x:c>
      <x:c r="BE193" s="289">
        <x:f t="shared" si="266"/>
        <x:v>-220.38045601152652</x:v>
      </x:c>
    </x:row>
    <x:row r="194" ht="15.75" customHeight="1">
      <x:c r="A194" s="21">
        <x:v>324</x:v>
      </x:c>
      <x:c r="B194" s="21">
        <x:f t="shared" si="19"/>
        <x:v>504</x:v>
      </x:c>
      <x:c r="C194" s="21">
        <x:f t="shared" si="0"/>
        <x:v>504</x:v>
      </x:c>
      <x:c r="D194" s="21">
        <x:f t="shared" si="20"/>
        <x:v>324</x:v>
      </x:c>
      <x:c r="E194" s="22" t="n">
        <x:f t="shared" ref="E194:H194" si="319">A194*PI()/180</x:f>
        <x:v>5.654866776461628</x:v>
      </x:c>
      <x:c r="F194" s="22">
        <x:f t="shared" si="319"/>
        <x:v>8.7964594300514207</x:v>
      </x:c>
      <x:c r="G194" s="22">
        <x:f t="shared" si="319"/>
        <x:v>8.7964594300514207</x:v>
      </x:c>
      <x:c r="H194" s="22">
        <x:f t="shared" si="319"/>
        <x:v>5.6548667764616276</x:v>
      </x:c>
      <x:c r="I194" s="23"/>
      <x:c r="J194" s="23"/>
      <x:c r="K194" s="23"/>
      <x:c r="L194" s="249">
        <x:f t="shared" si="298"/>
        <x:v>-803.81960329613969</x:v>
      </x:c>
      <x:c r="M194" s="249">
        <x:f t="shared" si="299"/>
        <x:v>803.81960329613969</x:v>
      </x:c>
      <x:c r="N194" s="249">
        <x:f t="shared" si="300"/>
        <x:v>803.81960329613969</x:v>
      </x:c>
      <x:c r="O194" s="249">
        <x:f t="shared" si="301"/>
        <x:v>-803.81960329613969</x:v>
      </x:c>
      <x:c r="P194" s="249">
        <x:f t="shared" si="302"/>
        <x:v>3261.027144483865</x:v>
      </x:c>
      <x:c r="Q194" s="249">
        <x:f t="shared" si="303"/>
        <x:v>-2797.8032959506304</x:v>
      </x:c>
      <x:c r="R194" s="249">
        <x:f t="shared" si="304"/>
        <x:v>-2797.8032959506304</x:v>
      </x:c>
      <x:c r="S194" s="249">
        <x:f t="shared" si="305"/>
        <x:v>3261.027144483865</x:v>
      </x:c>
      <x:c r="T194" s="23"/>
      <x:c r="U194" s="23"/>
      <x:c r="V194" s="260">
        <x:f t="shared" si="257"/>
        <x:v>2705.1877889606581</x:v>
      </x:c>
      <x:c r="W194" s="260">
        <x:f t="shared" si="258"/>
        <x:v>2892.4416459131171</x:v>
      </x:c>
      <x:c r="X194" s="260">
        <x:f t="shared" si="259"/>
        <x:v>-2277.2247563296942</x:v>
      </x:c>
      <x:c r="Y194" s="260">
        <x:f t="shared" si="260"/>
        <x:v>-3320.404678544081</x:v>
      </x:c>
      <x:c r="Z194" s="260">
        <x:f t="shared" si="261"/>
        <x:v>1990.5735400034587</x:v>
      </x:c>
      <x:c r="AA194" s="260">
        <x:f t="shared" si="262"/>
        <x:v>-328.04048906010303</x:v>
      </x:c>
      <x:c r="AB194" s="260">
        <x:f t="shared" si="263"/>
        <x:v>-1813.3054476933939</x:v>
      </x:c>
      <x:c r="AC194" s="260">
        <x:f t="shared" si="264"/>
        <x:v>505.30858137016776</x:v>
      </x:c>
      <x:c r="AD194" s="260"/>
      <x:c r="AE194" s="282">
        <x:f t="shared" si="39"/>
        <x:v>0</x:v>
      </x:c>
      <x:c r="AF194" s="282">
        <x:f t="shared" si="10"/>
        <x:v>354.53618462012946</x:v>
      </x:c>
      <x:c r="AJ194" s="272">
        <x:f t="shared" si="306"/>
        <x:v>-398.11470800069173</x:v>
      </x:c>
      <x:c r="AK194" s="272">
        <x:f t="shared" si="307"/>
        <x:v>32.804048906010301</x:v>
      </x:c>
      <x:c r="AL194" s="272">
        <x:f t="shared" si="308"/>
        <x:v>-181.33054476933941</x:v>
      </x:c>
      <x:c r="AM194" s="272">
        <x:f t="shared" si="309"/>
        <x:v>101.06171627403356</x:v>
      </x:c>
      <x:c r="AN194" s="272">
        <x:f t="shared" si="310"/>
        <x:v>541.03755779213168</x:v>
      </x:c>
      <x:c r="AO194" s="272">
        <x:f t="shared" si="311"/>
        <x:v>289.24416459131174</x:v>
      </x:c>
      <x:c r="AP194" s="272">
        <x:f t="shared" si="312"/>
        <x:v>227.72247563296943</x:v>
      </x:c>
      <x:c r="AQ194" s="272">
        <x:f t="shared" si="313"/>
        <x:v>664.08093570881624</x:v>
      </x:c>
      <x:c r="AR194" s="272"/>
      <x:c r="AS194" s="286">
        <x:f t="shared" si="32"/>
        <x:v>-445.57948758998737</x:v>
      </x:c>
      <x:c r="AT194" s="286">
        <x:f t="shared" si="33"/>
        <x:v>1722.0851337252291</x:v>
      </x:c>
      <x:c r="AY194" s="279">
        <x:f t="shared" si="314"/>
        <x:v>532.59647627264724</x:v>
      </x:c>
      <x:c r="AZ194" s="279">
        <x:f t="shared" si="315"/>
        <x:v>-532.59647627264724</x:v>
      </x:c>
      <x:c r="BA194" s="279">
        <x:f t="shared" si="316"/>
        <x:v>-147.70207495018869</x:v>
      </x:c>
      <x:c r="BB194" s="279">
        <x:f t="shared" si="317"/>
        <x:v>-147.70207495018869</x:v>
      </x:c>
      <x:c r="BC194" s="279"/>
      <x:c r="BD194" s="289">
        <x:f t="shared" si="265"/>
        <x:v>0</x:v>
      </x:c>
      <x:c r="BE194" s="289">
        <x:f t="shared" si="266"/>
        <x:v>-295.40414990037738</x:v>
      </x:c>
    </x:row>
    <x:row r="195" ht="15.75" customHeight="1">
      <x:c r="A195" s="21">
        <x:v>326</x:v>
      </x:c>
      <x:c r="B195" s="21">
        <x:f t="shared" si="19"/>
        <x:v>506</x:v>
      </x:c>
      <x:c r="C195" s="21">
        <x:f t="shared" si="0"/>
        <x:v>506</x:v>
      </x:c>
      <x:c r="D195" s="21">
        <x:f t="shared" si="20"/>
        <x:v>326</x:v>
      </x:c>
      <x:c r="E195" s="22" t="n">
        <x:f t="shared" ref="E195:H195" si="320">A195*PI()/180</x:f>
        <x:v>5.689773361501514</x:v>
      </x:c>
      <x:c r="F195" s="22">
        <x:f t="shared" si="320"/>
        <x:v>8.8313660150913069</x:v>
      </x:c>
      <x:c r="G195" s="22">
        <x:f t="shared" si="320"/>
        <x:v>8.8313660150913069</x:v>
      </x:c>
      <x:c r="H195" s="22">
        <x:f t="shared" si="320"/>
        <x:v>5.6897733615015138</x:v>
      </x:c>
      <x:c r="I195" s="23"/>
      <x:c r="J195" s="23"/>
      <x:c r="K195" s="23"/>
      <x:c r="L195" s="249">
        <x:f t="shared" si="298"/>
        <x:v>-764.7184342934363</x:v>
      </x:c>
      <x:c r="M195" s="249">
        <x:f t="shared" si="299"/>
        <x:v>764.71843429343642</x:v>
      </x:c>
      <x:c r="N195" s="249">
        <x:f t="shared" si="300"/>
        <x:v>764.71843429343642</x:v>
      </x:c>
      <x:c r="O195" s="249">
        <x:f t="shared" si="301"/>
        <x:v>-764.7184342934363</x:v>
      </x:c>
      <x:c r="P195" s="249">
        <x:f t="shared" si="302"/>
        <x:v>3385.1556507159521</x:v>
      </x:c>
      <x:c r="Q195" s="249">
        <x:f t="shared" si="303"/>
        <x:v>-2823.6114280784959</x:v>
      </x:c>
      <x:c r="R195" s="249">
        <x:f t="shared" si="304"/>
        <x:v>-2823.6114280784959</x:v>
      </x:c>
      <x:c r="S195" s="249">
        <x:f t="shared" si="305"/>
        <x:v>3385.1556507159521</x:v>
      </x:c>
      <x:c r="T195" s="23"/>
      <x:c r="U195" s="23"/>
      <x:c r="V195" s="260">
        <x:f t="shared" si="257"/>
        <x:v>2834.8309448331252</x:v>
      </x:c>
      <x:c r="W195" s="260">
        <x:f t="shared" si="258"/>
        <x:v>2901.321881394957</x:v>
      </x:c>
      <x:c r="X195" s="260">
        <x:f t="shared" si="259"/>
        <x:v>-2316.0317309384181</x:v>
      </x:c>
      <x:c r="Y195" s="260">
        <x:f t="shared" si="260"/>
        <x:v>-3420.121095289664</x:v>
      </x:c>
      <x:c r="Z195" s="260">
        <x:f t="shared" si="261"/>
        <x:v>2001.9506930838429</x:v>
      </x:c>
      <x:c r="AA195" s="260">
        <x:f t="shared" si="262"/>
        <x:v>-374.04160338458871</x:v>
      </x:c>
      <x:c r="AB195" s="260">
        <x:f t="shared" si="263"/>
        <x:v>-1787.0570225401552</x:v>
      </x:c>
      <x:c r="AC195" s="260">
        <x:f t="shared" si="264"/>
        <x:v>588.93527392827673</x:v>
      </x:c>
      <x:c r="AD195" s="260"/>
      <x:c r="AE195" s="282">
        <x:f t="shared" si="39"/>
        <x:v>0</x:v>
      </x:c>
      <x:c r="AF195" s="282">
        <x:f t="shared" si="10"/>
        <x:v>429.78734108737581</x:v>
      </x:c>
      <x:c r="AJ195" s="272">
        <x:f t="shared" si="306"/>
        <x:v>-400.39013861676858</x:v>
      </x:c>
      <x:c r="AK195" s="272">
        <x:f t="shared" si="307"/>
        <x:v>37.404160338458873</x:v>
      </x:c>
      <x:c r="AL195" s="272">
        <x:f t="shared" si="308"/>
        <x:v>-178.70570225401553</x:v>
      </x:c>
      <x:c r="AM195" s="272">
        <x:f t="shared" si="309"/>
        <x:v>117.78705478565536</x:v>
      </x:c>
      <x:c r="AN195" s="272">
        <x:f t="shared" si="310"/>
        <x:v>566.96618896662505</x:v>
      </x:c>
      <x:c r="AO195" s="272">
        <x:f t="shared" si="311"/>
        <x:v>290.13218813949572</x:v>
      </x:c>
      <x:c r="AP195" s="272">
        <x:f t="shared" si="312"/>
        <x:v>231.60317309384183</x:v>
      </x:c>
      <x:c r="AQ195" s="272">
        <x:f t="shared" si="313"/>
        <x:v>684.0242190579329</x:v>
      </x:c>
      <x:c r="AR195" s="272"/>
      <x:c r="AS195" s="286">
        <x:f t="shared" si="32"/>
        <x:v>-423.90462574666986</x:v>
      </x:c>
      <x:c r="AT195" s="286">
        <x:f t="shared" si="33"/>
        <x:v>1772.7257692578955</x:v>
      </x:c>
      <x:c r="AY195" s="279">
        <x:f t="shared" si="314"/>
        <x:v>520.99592211143693</x:v>
      </x:c>
      <x:c r="AZ195" s="279">
        <x:f t="shared" si="315"/>
        <x:v>-520.99592211143693</x:v>
      </x:c>
      <x:c r="BA195" s="279">
        <x:f t="shared" si="316"/>
        <x:v>-184.49433223241653</x:v>
      </x:c>
      <x:c r="BB195" s="279">
        <x:f t="shared" si="317"/>
        <x:v>-184.49433223241653</x:v>
      </x:c>
      <x:c r="BC195" s="279"/>
      <x:c r="BD195" s="289">
        <x:f t="shared" si="265"/>
        <x:v>0</x:v>
      </x:c>
      <x:c r="BE195" s="289">
        <x:f t="shared" si="266"/>
        <x:v>-368.98866446483305</x:v>
      </x:c>
    </x:row>
    <x:row r="196" ht="15.75" customHeight="1">
      <x:c r="A196" s="21">
        <x:v>328</x:v>
      </x:c>
      <x:c r="B196" s="21">
        <x:f t="shared" si="19"/>
        <x:v>508</x:v>
      </x:c>
      <x:c r="C196" s="21">
        <x:f t="shared" si="0"/>
        <x:v>508</x:v>
      </x:c>
      <x:c r="D196" s="21">
        <x:f t="shared" si="20"/>
        <x:v>328</x:v>
      </x:c>
      <x:c r="E196" s="22" t="n">
        <x:f t="shared" ref="E196:H196" si="321">A196*PI()/180</x:f>
        <x:v>5.7246799465414</x:v>
      </x:c>
      <x:c r="F196" s="22">
        <x:f t="shared" si="321"/>
        <x:v>8.8662726001311949</x:v>
      </x:c>
      <x:c r="G196" s="22">
        <x:f t="shared" si="321"/>
        <x:v>8.8662726001311949</x:v>
      </x:c>
      <x:c r="H196" s="22">
        <x:f t="shared" si="321"/>
        <x:v>5.7246799465414</x:v>
      </x:c>
      <x:c r="I196" s="23"/>
      <x:c r="J196" s="23"/>
      <x:c r="K196" s="23"/>
      <x:c r="L196" s="249">
        <x:f t="shared" si="298"/>
        <x:v>-724.68557367439098</x:v>
      </x:c>
      <x:c r="M196" s="249">
        <x:f t="shared" si="299"/>
        <x:v>724.68557367438916</x:v>
      </x:c>
      <x:c r="N196" s="249">
        <x:f t="shared" si="300"/>
        <x:v>724.68557367438916</x:v>
      </x:c>
      <x:c r="O196" s="249">
        <x:f t="shared" si="301"/>
        <x:v>-724.68557367439098</x:v>
      </x:c>
      <x:c r="P196" s="249">
        <x:f t="shared" si="302"/>
        <x:v>3504.1340502956791</x:v>
      </x:c>
      <x:c r="Q196" s="249">
        <x:f t="shared" si="303"/>
        <x:v>-2847.0052405604638</x:v>
      </x:c>
      <x:c r="R196" s="249">
        <x:f t="shared" si="304"/>
        <x:v>-2847.0052405604638</x:v>
      </x:c>
      <x:c r="S196" s="249">
        <x:f t="shared" si="305"/>
        <x:v>3504.1340502956791</x:v>
      </x:c>
      <x:c r="T196" s="23"/>
      <x:c r="U196" s="23"/>
      <x:c r="V196" s="260">
        <x:f t="shared" si="257"/>
        <x:v>2960.0725655248734</x:v>
      </x:c>
      <x:c r="W196" s="260">
        <x:f t="shared" si="258"/>
        <x:v>2907.6150334253639</x:v>
      </x:c>
      <x:c r="X196" s="260">
        <x:f t="shared" si="259"/>
        <x:v>-2352.9647079870051</x:v>
      </x:c>
      <x:c r="Y196" s="260">
        <x:f t="shared" si="260"/>
        <x:v>-3514.722890963234</x:v>
      </x:c>
      <x:c r="Z196" s="260">
        <x:f t="shared" si="261"/>
        <x:v>2010.4962148585048</x:v>
      </x:c>
      <x:c r="AA196" s="260">
        <x:f t="shared" si="262"/>
        <x:v>-419.97956839510823</x:v>
      </x:c>
      <x:c r="AB196" s="260">
        <x:f t="shared" si="263"/>
        <x:v>-1759.0239064430448</x:v>
      </x:c>
      <x:c r="AC196" s="260">
        <x:f t="shared" si="264"/>
        <x:v>671.45187681056473</x:v>
      </x:c>
      <x:c r="AD196" s="260"/>
      <x:c r="AE196" s="282">
        <x:f t="shared" si="39"/>
        <x:v>0</x:v>
      </x:c>
      <x:c r="AF196" s="282">
        <x:f t="shared" si="10"/>
        <x:v>502.94461683091663</x:v>
      </x:c>
      <x:c r="AJ196" s="272">
        <x:f t="shared" si="306"/>
        <x:v>-402.09924297170096</x:v>
      </x:c>
      <x:c r="AK196" s="272">
        <x:f t="shared" si="307"/>
        <x:v>41.997956839510827</x:v>
      </x:c>
      <x:c r="AL196" s="272">
        <x:f t="shared" si="308"/>
        <x:v>-175.90239064430449</x:v>
      </x:c>
      <x:c r="AM196" s="272">
        <x:f t="shared" si="309"/>
        <x:v>134.29037536211294</x:v>
      </x:c>
      <x:c r="AN196" s="272">
        <x:f t="shared" si="310"/>
        <x:v>592.01451310497475</x:v>
      </x:c>
      <x:c r="AO196" s="272">
        <x:f t="shared" si="311"/>
        <x:v>290.7615033425364</x:v>
      </x:c>
      <x:c r="AP196" s="272">
        <x:f t="shared" si="312"/>
        <x:v>235.29647079870051</x:v>
      </x:c>
      <x:c r="AQ196" s="272">
        <x:f t="shared" si="313"/>
        <x:v>702.94457819264687</x:v>
      </x:c>
      <x:c r="AR196" s="272"/>
      <x:c r="AS196" s="286">
        <x:f t="shared" si="32"/>
        <x:v>-401.71330141438159</x:v>
      </x:c>
      <x:c r="AT196" s="286">
        <x:f t="shared" si="33"/>
        <x:v>1821.0170654388585</x:v>
      </x:c>
      <x:c r="AY196" s="279">
        <x:f t="shared" si="314"/>
        <x:v>506.85712818802619</x:v>
      </x:c>
      <x:c r="AZ196" s="279">
        <x:f t="shared" si="315"/>
        <x:v>-506.85712818802619</x:v>
      </x:c>
      <x:c r="BA196" s="279">
        <x:f t="shared" si="316"/>
        <x:v>-220.3877516733144</x:v>
      </x:c>
      <x:c r="BB196" s="279">
        <x:f t="shared" si="317"/>
        <x:v>-220.3877516733144</x:v>
      </x:c>
      <x:c r="BC196" s="279"/>
      <x:c r="BD196" s="289">
        <x:f t="shared" si="265"/>
        <x:v>0</x:v>
      </x:c>
      <x:c r="BE196" s="289">
        <x:f t="shared" si="266"/>
        <x:v>-440.7755033466288</x:v>
      </x:c>
    </x:row>
    <x:row r="197" ht="15.75" customHeight="1">
      <x:c r="A197" s="21">
        <x:v>330</x:v>
      </x:c>
      <x:c r="B197" s="21">
        <x:f t="shared" si="19"/>
        <x:v>510</x:v>
      </x:c>
      <x:c r="C197" s="21">
        <x:f t="shared" si="0"/>
        <x:v>510</x:v>
      </x:c>
      <x:c r="D197" s="21">
        <x:f t="shared" si="20"/>
        <x:v>330</x:v>
      </x:c>
      <x:c r="E197" s="22" t="n">
        <x:f t="shared" ref="E197:H197" si="322">A197*PI()/180</x:f>
        <x:v>5.759586531581287</x:v>
      </x:c>
      <x:c r="F197" s="22">
        <x:f t="shared" si="322"/>
        <x:v>8.9011791851710811</x:v>
      </x:c>
      <x:c r="G197" s="22">
        <x:f t="shared" si="322"/>
        <x:v>8.9011791851710811</x:v>
      </x:c>
      <x:c r="H197" s="22">
        <x:f t="shared" si="322"/>
        <x:v>5.7595865315812871</x:v>
      </x:c>
      <x:c r="I197" s="23"/>
      <x:c r="J197" s="23"/>
      <x:c r="K197" s="23"/>
      <x:c r="L197" s="249">
        <x:f t="shared" si="298"/>
        <x:v>-683.76979531307757</x:v>
      </x:c>
      <x:c r="M197" s="249">
        <x:f t="shared" si="299"/>
        <x:v>683.76979531307666</x:v>
      </x:c>
      <x:c r="N197" s="249">
        <x:f t="shared" si="300"/>
        <x:v>683.76979531307666</x:v>
      </x:c>
      <x:c r="O197" s="249">
        <x:f t="shared" si="301"/>
        <x:v>-683.76979531307757</x:v>
      </x:c>
      <x:c r="P197" s="249">
        <x:f t="shared" si="302"/>
        <x:v>3617.6427746681234</x:v>
      </x:c>
      <x:c r="Q197" s="249">
        <x:f t="shared" si="303"/>
        <x:v>-2868.1308433418185</x:v>
      </x:c>
      <x:c r="R197" s="249">
        <x:f t="shared" si="304"/>
        <x:v>-2868.1308433418185</x:v>
      </x:c>
      <x:c r="S197" s="249">
        <x:f t="shared" si="305"/>
        <x:v>3617.6427746681234</x:v>
      </x:c>
      <x:c r="T197" s="23"/>
      <x:c r="U197" s="23"/>
      <x:c r="V197" s="260">
        <x:f t="shared" si="257"/>
        <x:v>3080.5987432352367</x:v>
      </x:c>
      <x:c r="W197" s="260">
        <x:f t="shared" si="258"/>
        <x:v>2911.4747549458248</x:v>
      </x:c>
      <x:c r="X197" s="260">
        <x:f t="shared" si="259"/>
        <x:v>-2388.1400105098587</x:v>
      </x:c>
      <x:c r="Y197" s="260">
        <x:f t="shared" si="260"/>
        <x:v>-3603.9334876712037</x:v>
      </x:c>
      <x:c r="Z197" s="260">
        <x:f t="shared" si="261"/>
        <x:v>2016.132872919949</x:v>
      </x:c>
      <x:c r="AA197" s="260">
        <x:f t="shared" si="262"/>
        <x:v>-465.86523676304341</x:v>
      </x:c>
      <x:c r="AB197" s="260">
        <x:f t="shared" si="263"/>
        <x:v>-1729.3070744414104</x:v>
      </x:c>
      <x:c r="AC197" s="260">
        <x:f t="shared" si="264"/>
        <x:v>752.69103524158027</x:v>
      </x:c>
      <x:c r="AD197" s="260"/>
      <x:c r="AE197" s="282">
        <x:f t="shared" si="39"/>
        <x:v>0</x:v>
      </x:c>
      <x:c r="AF197" s="282">
        <x:f t="shared" si="10"/>
        <x:v>573.65159695707553</x:v>
      </x:c>
      <x:c r="AJ197" s="272">
        <x:f t="shared" si="306"/>
        <x:v>-403.22657458398982</x:v>
      </x:c>
      <x:c r="AK197" s="272">
        <x:f t="shared" si="307"/>
        <x:v>46.586523676304346</x:v>
      </x:c>
      <x:c r="AL197" s="272">
        <x:f t="shared" si="308"/>
        <x:v>-172.93070744414104</x:v>
      </x:c>
      <x:c r="AM197" s="272">
        <x:f t="shared" si="309"/>
        <x:v>150.53820704831605</x:v>
      </x:c>
      <x:c r="AN197" s="272">
        <x:f t="shared" si="310"/>
        <x:v>616.11974864704735</x:v>
      </x:c>
      <x:c r="AO197" s="272">
        <x:f t="shared" si="311"/>
        <x:v>291.14747549458247</x:v>
      </x:c>
      <x:c r="AP197" s="272">
        <x:f t="shared" si="312"/>
        <x:v>238.81400105098589</x:v>
      </x:c>
      <x:c r="AQ197" s="272">
        <x:f t="shared" si="313"/>
        <x:v>720.78669753424083</x:v>
      </x:c>
      <x:c r="AR197" s="272"/>
      <x:c r="AS197" s="286">
        <x:f t="shared" si="32"/>
        <x:v>-379.03255130351044</x:v>
      </x:c>
      <x:c r="AT197" s="286">
        <x:f t="shared" si="33"/>
        <x:v>1866.8679227268567</x:v>
      </x:c>
      <x:c r="AY197" s="279">
        <x:f t="shared" si="314"/>
        <x:v>490.2489772851842</x:v>
      </x:c>
      <x:c r="AZ197" s="279">
        <x:f t="shared" si="315"/>
        <x:v>-490.2489772851842</x:v>
      </x:c>
      <x:c r="BA197" s="279">
        <x:f t="shared" si="316"/>
        <x:v>-255.20746414135826</x:v>
      </x:c>
      <x:c r="BB197" s="279">
        <x:f t="shared" si="317"/>
        <x:v>-255.20746414135826</x:v>
      </x:c>
      <x:c r="BC197" s="279"/>
      <x:c r="BD197" s="289">
        <x:f t="shared" si="265"/>
        <x:v>0</x:v>
      </x:c>
      <x:c r="BE197" s="289">
        <x:f t="shared" si="266"/>
        <x:v>-510.41492828271652</x:v>
      </x:c>
    </x:row>
    <x:row r="198" ht="15.75" customHeight="1">
      <x:c r="A198" s="21">
        <x:v>332</x:v>
      </x:c>
      <x:c r="B198" s="21">
        <x:f t="shared" si="19"/>
        <x:v>512</x:v>
      </x:c>
      <x:c r="C198" s="21">
        <x:f t="shared" si="0"/>
        <x:v>512</x:v>
      </x:c>
      <x:c r="D198" s="21">
        <x:f t="shared" si="20"/>
        <x:v>332</x:v>
      </x:c>
      <x:c r="E198" s="22" t="n">
        <x:f t="shared" ref="E198:H198" si="323">A198*PI()/180</x:f>
        <x:v>5.794493116621174</x:v>
      </x:c>
      <x:c r="F198" s="22">
        <x:f t="shared" si="323"/>
        <x:v>8.9360857702109673</x:v>
      </x:c>
      <x:c r="G198" s="22">
        <x:f t="shared" si="323"/>
        <x:v>8.9360857702109673</x:v>
      </x:c>
      <x:c r="H198" s="22">
        <x:f t="shared" si="323"/>
        <x:v>5.7944931166211742</x:v>
      </x:c>
      <x:c r="I198" s="23"/>
      <x:c r="J198" s="23"/>
      <x:c r="K198" s="23"/>
      <x:c r="L198" s="249">
        <x:f t="shared" si="298"/>
        <x:v>-642.02094878283788</x:v>
      </x:c>
      <x:c r="M198" s="249">
        <x:f t="shared" si="299"/>
        <x:v>642.02094878283799</x:v>
      </x:c>
      <x:c r="N198" s="249">
        <x:f t="shared" si="300"/>
        <x:v>642.02094878283799</x:v>
      </x:c>
      <x:c r="O198" s="249">
        <x:f t="shared" si="301"/>
        <x:v>-642.02094878283788</x:v>
      </x:c>
      <x:c r="P198" s="249">
        <x:f t="shared" si="302"/>
        <x:v>3725.3747675978411</x:v>
      </x:c>
      <x:c r="Q198" s="249">
        <x:f t="shared" si="303"/>
        <x:v>-2887.1312614691924</x:v>
      </x:c>
      <x:c r="R198" s="249">
        <x:f t="shared" si="304"/>
        <x:v>-2887.1312614691924</x:v>
      </x:c>
      <x:c r="S198" s="249">
        <x:f t="shared" si="305"/>
        <x:v>3725.3747675978411</x:v>
      </x:c>
      <x:c r="T198" s="23"/>
      <x:c r="U198" s="23"/>
      <x:c r="V198" s="260">
        <x:f t="shared" si="257"/>
        <x:v>3196.1067183871291</x:v>
      </x:c>
      <x:c r="W198" s="260">
        <x:f t="shared" si="258"/>
        <x:v>2913.0522604753869</x:v>
      </x:c>
      <x:c r="X198" s="260">
        <x:f t="shared" si="259"/>
        <x:v>-2421.6706998143709</x:v>
      </x:c>
      <x:c r="Y198" s="260">
        <x:f t="shared" si="260"/>
        <x:v>-3687.4882790481452</x:v>
      </x:c>
      <x:c r="Z198" s="260">
        <x:f t="shared" si="261"/>
        <x:v>2018.7892169345819</x:v>
      </x:c>
      <x:c r="AA198" s="260">
        <x:f t="shared" si="262"/>
        <x:v>-511.70728680364095</x:v>
      </x:c>
      <x:c r="AB198" s="260">
        <x:f t="shared" si="263"/>
        <x:v>-1698.0073148515232</x:v>
      </x:c>
      <x:c r="AC198" s="260">
        <x:f t="shared" si="264"/>
        <x:v>832.48918888669971</x:v>
      </x:c>
      <x:c r="AD198" s="260"/>
      <x:c r="AE198" s="282">
        <x:f t="shared" si="39"/>
        <x:v>0</x:v>
      </x:c>
      <x:c r="AF198" s="282">
        <x:f t="shared" si="10"/>
        <x:v>641.56380416611739</x:v>
      </x:c>
      <x:c r="AJ198" s="272">
        <x:f t="shared" si="306"/>
        <x:v>-403.75784338691642</x:v>
      </x:c>
      <x:c r="AK198" s="272">
        <x:f t="shared" si="307"/>
        <x:v>51.1707286803641</x:v>
      </x:c>
      <x:c r="AL198" s="272">
        <x:f t="shared" si="308"/>
        <x:v>-169.80073148515234</x:v>
      </x:c>
      <x:c r="AM198" s="272">
        <x:f t="shared" si="309"/>
        <x:v>166.49783777733995</x:v>
      </x:c>
      <x:c r="AN198" s="272">
        <x:f t="shared" si="310"/>
        <x:v>639.22134367742592</x:v>
      </x:c>
      <x:c r="AO198" s="272">
        <x:f t="shared" si="311"/>
        <x:v>291.30522604753872</x:v>
      </x:c>
      <x:c r="AP198" s="272">
        <x:f t="shared" si="312"/>
        <x:v>242.16706998143709</x:v>
      </x:c>
      <x:c r="AQ198" s="272">
        <x:f t="shared" si="313"/>
        <x:v>737.49765580962912</x:v>
      </x:c>
      <x:c r="AR198" s="272"/>
      <x:c r="AS198" s="286">
        <x:f t="shared" si="32"/>
        <x:v>-355.89000841436467</x:v>
      </x:c>
      <x:c r="AT198" s="286">
        <x:f t="shared" si="33"/>
        <x:v>1910.191295516031</x:v>
      </x:c>
      <x:c r="AY198" s="279">
        <x:f t="shared" si="314"/>
        <x:v>471.25238264466367</x:v>
      </x:c>
      <x:c r="AZ198" s="279">
        <x:f t="shared" si="315"/>
        <x:v>-471.25238264466367</x:v>
      </x:c>
      <x:c r="BA198" s="279">
        <x:f t="shared" si="316"/>
        <x:v>-288.78383149747009</x:v>
      </x:c>
      <x:c r="BB198" s="279">
        <x:f t="shared" si="317"/>
        <x:v>-288.78383149747009</x:v>
      </x:c>
      <x:c r="BC198" s="279"/>
      <x:c r="BD198" s="289">
        <x:f t="shared" si="265"/>
        <x:v>0</x:v>
      </x:c>
      <x:c r="BE198" s="289">
        <x:f t="shared" si="266"/>
        <x:v>-577.56766299494018</x:v>
      </x:c>
    </x:row>
    <x:row r="199" ht="15.75" customHeight="1">
      <x:c r="A199" s="21">
        <x:v>334</x:v>
      </x:c>
      <x:c r="B199" s="21">
        <x:f t="shared" si="19"/>
        <x:v>514</x:v>
      </x:c>
      <x:c r="C199" s="21">
        <x:f t="shared" si="0"/>
        <x:v>514</x:v>
      </x:c>
      <x:c r="D199" s="21">
        <x:f t="shared" si="20"/>
        <x:v>334</x:v>
      </x:c>
      <x:c r="E199" s="22" t="n">
        <x:f t="shared" ref="E199:H199" si="324">A199*PI()/180</x:f>
        <x:v>5.829399701661061</x:v>
      </x:c>
      <x:c r="F199" s="22">
        <x:f t="shared" si="324"/>
        <x:v>8.9709923552508535</x:v>
      </x:c>
      <x:c r="G199" s="22">
        <x:f t="shared" si="324"/>
        <x:v>8.9709923552508535</x:v>
      </x:c>
      <x:c r="H199" s="22">
        <x:f t="shared" si="324"/>
        <x:v>5.8293997016610613</x:v>
      </x:c>
      <x:c r="I199" s="23"/>
      <x:c r="J199" s="23"/>
      <x:c r="K199" s="23"/>
      <x:c r="L199" s="249">
        <x:f t="shared" si="298"/>
        <x:v>-599.4898986222521</x:v>
      </x:c>
      <x:c r="M199" s="249">
        <x:f t="shared" si="299"/>
        <x:v>599.48989862225324</x:v>
      </x:c>
      <x:c r="N199" s="249">
        <x:f t="shared" si="300"/>
        <x:v>599.48989862225324</x:v>
      </x:c>
      <x:c r="O199" s="249">
        <x:f t="shared" si="301"/>
        <x:v>-599.4898986222521</x:v>
      </x:c>
      <x:c r="P199" s="249">
        <x:f t="shared" si="302"/>
        <x:v>3827.0366814676267</x:v>
      </x:c>
      <x:c r="Q199" s="249">
        <x:f t="shared" si="303"/>
        <x:v>-2904.1454386385499</x:v>
      </x:c>
      <x:c r="R199" s="249">
        <x:f t="shared" si="304"/>
        <x:v>-2904.1454386385499</x:v>
      </x:c>
      <x:c r="S199" s="249">
        <x:f t="shared" si="305"/>
        <x:v>3827.0366814676267</x:v>
      </x:c>
      <x:c r="T199" s="23"/>
      <x:c r="U199" s="23"/>
      <x:c r="V199" s="260">
        <x:f t="shared" si="257"/>
        <x:v>3306.3060081048939</x:v>
      </x:c>
      <x:c r="W199" s="260">
        <x:f t="shared" si="258"/>
        <x:v>2912.4953822671328</x:v>
      </x:c>
      <x:c r="X199" s="260">
        <x:f t="shared" si="259"/>
        <x:v>-2453.6656781212055</x:v>
      </x:c>
      <x:c r="Y199" s="260">
        <x:f t="shared" si="260"/>
        <x:v>-3765.1357122508202</x:v>
      </x:c>
      <x:c r="Z199" s="260">
        <x:f t="shared" si="261"/>
        <x:v>2018.3999803354993</x:v>
      </x:c>
      <x:c r="AA199" s="260">
        <x:f t="shared" si="262"/>
        <x:v>-557.51189726125369</x:v>
      </x:c>
      <x:c r="AB199" s="260">
        <x:f t="shared" si="263"/>
        <x:v>-1665.2247918299859</x:v>
      </x:c>
      <x:c r="AC199" s="260">
        <x:f t="shared" si="264"/>
        <x:v>910.68708576676931</x:v>
      </x:c>
      <x:c r="AD199" s="260"/>
      <x:c r="AE199" s="282">
        <x:f t="shared" si="39"/>
        <x:v>0</x:v>
      </x:c>
      <x:c r="AF199" s="282">
        <x:f t="shared" si="10"/>
        <x:v>706.35037701102897</x:v>
      </x:c>
      <x:c r="AJ199" s="272">
        <x:f t="shared" si="306"/>
        <x:v>-403.67999606709986</x:v>
      </x:c>
      <x:c r="AK199" s="272">
        <x:f t="shared" si="307"/>
        <x:v>55.751189726125375</x:v>
      </x:c>
      <x:c r="AL199" s="272">
        <x:f t="shared" si="308"/>
        <x:v>-166.52247918299861</x:v>
      </x:c>
      <x:c r="AM199" s="272">
        <x:f t="shared" si="309"/>
        <x:v>182.13741715335388</x:v>
      </x:c>
      <x:c r="AN199" s="272">
        <x:f t="shared" si="310"/>
        <x:v>661.2612016209788</x:v>
      </x:c>
      <x:c r="AO199" s="272">
        <x:f t="shared" si="311"/>
        <x:v>291.2495382267133</x:v>
      </x:c>
      <x:c r="AP199" s="272">
        <x:f t="shared" si="312"/>
        <x:v>245.36656781212056</x:v>
      </x:c>
      <x:c r="AQ199" s="272">
        <x:f t="shared" si="313"/>
        <x:v>753.02714245016409</x:v>
      </x:c>
      <x:c r="AR199" s="272"/>
      <x:c r="AS199" s="286">
        <x:f t="shared" si="32"/>
        <x:v>-332.31386837061916</x:v>
      </x:c>
      <x:c r="AT199" s="286">
        <x:f t="shared" si="33"/>
        <x:v>1950.9044501099768</x:v>
      </x:c>
      <x:c r="AY199" s="279">
        <x:f t="shared" si="314"/>
        <x:v>449.95989376602171</x:v>
      </x:c>
      <x:c r="AZ199" s="279">
        <x:f t="shared" si="315"/>
        <x:v>-449.95989376602171</x:v>
      </x:c>
      <x:c r="BA199" s="279">
        <x:f t="shared" si="316"/>
        <x:v>-320.95327305497625</x:v>
      </x:c>
      <x:c r="BB199" s="279">
        <x:f t="shared" si="317"/>
        <x:v>-320.95327305497625</x:v>
      </x:c>
      <x:c r="BC199" s="279"/>
      <x:c r="BD199" s="289">
        <x:f t="shared" si="265"/>
        <x:v>0</x:v>
      </x:c>
      <x:c r="BE199" s="289">
        <x:f t="shared" si="266"/>
        <x:v>-641.9065461099525</x:v>
      </x:c>
    </x:row>
    <x:row r="200" ht="15.75" customHeight="1">
      <x:c r="A200" s="21">
        <x:v>336</x:v>
      </x:c>
      <x:c r="B200" s="21">
        <x:f t="shared" si="19"/>
        <x:v>516</x:v>
      </x:c>
      <x:c r="C200" s="21">
        <x:f t="shared" si="0"/>
        <x:v>516</x:v>
      </x:c>
      <x:c r="D200" s="21">
        <x:f t="shared" si="20"/>
        <x:v>336</x:v>
      </x:c>
      <x:c r="E200" s="22" t="n">
        <x:f t="shared" ref="E200:H200" si="325">A200*PI()/180</x:f>
        <x:v>5.8643062867009474</x:v>
      </x:c>
      <x:c r="F200" s="22">
        <x:f t="shared" si="325"/>
        <x:v>9.0058989402907397</x:v>
      </x:c>
      <x:c r="G200" s="22">
        <x:f t="shared" si="325"/>
        <x:v>9.0058989402907397</x:v>
      </x:c>
      <x:c r="H200" s="22">
        <x:f t="shared" si="325"/>
        <x:v>5.8643062867009474</x:v>
      </x:c>
      <x:c r="I200" s="23"/>
      <x:c r="J200" s="23"/>
      <x:c r="K200" s="23"/>
      <x:c r="L200" s="249">
        <x:f t="shared" si="298"/>
        <x:v>-556.22846236453586</x:v>
      </x:c>
      <x:c r="M200" s="249">
        <x:f t="shared" si="299"/>
        <x:v>556.22846236453711</x:v>
      </x:c>
      <x:c r="N200" s="249">
        <x:f t="shared" si="300"/>
        <x:v>556.22846236453711</x:v>
      </x:c>
      <x:c r="O200" s="249">
        <x:f t="shared" si="301"/>
        <x:v>-556.22846236453586</x:v>
      </x:c>
      <x:c r="P200" s="249">
        <x:f t="shared" si="302"/>
        <x:v>3922.3500243771155</x:v>
      </x:c>
      <x:c r="Q200" s="249">
        <x:f t="shared" si="303"/>
        <x:v>-2919.3072782139734</x:v>
      </x:c>
      <x:c r="R200" s="249">
        <x:f t="shared" si="304"/>
        <x:v>-2919.3072782139734</x:v>
      </x:c>
      <x:c r="S200" s="249">
        <x:f t="shared" si="305"/>
        <x:v>3922.3500243771155</x:v>
      </x:c>
      <x:c r="T200" s="23"/>
      <x:c r="U200" s="23"/>
      <x:c r="V200" s="260">
        <x:f t="shared" si="257"/>
        <x:v>3410.9194897103471</x:v>
      </x:c>
      <x:c r="W200" s="260">
        <x:f t="shared" si="258"/>
        <x:v>2909.9476606099397</x:v>
      </x:c>
      <x:c r="X200" s="260">
        <x:f t="shared" si="259"/>
        <x:v>-2484.2288262963057</x:v>
      </x:c>
      <x:c r="Y200" s="260">
        <x:f t="shared" si="260"/>
        <x:v>-3836.6383240239802</x:v>
      </x:c>
      <x:c r="Z200" s="260">
        <x:f t="shared" si="261"/>
        <x:v>2014.9064620447475</x:v>
      </x:c>
      <x:c r="AA200" s="260">
        <x:f t="shared" si="262"/>
        <x:v>-603.28243757649125</x:v>
      </x:c>
      <x:c r="AB200" s="260">
        <x:f t="shared" si="263"/>
        <x:v>-1631.058621134132</x:v>
      </x:c>
      <x:c r="AC200" s="260">
        <x:f t="shared" si="264"/>
        <x:v>987.13027848710908</x:v>
      </x:c>
      <x:c r="AD200" s="260"/>
      <x:c r="AE200" s="282">
        <x:f t="shared" si="39"/>
        <x:v>0</x:v>
      </x:c>
      <x:c r="AF200" s="282">
        <x:f t="shared" si="10"/>
        <x:v>767.69568182123339</x:v>
      </x:c>
      <x:c r="AJ200" s="272">
        <x:f t="shared" si="306"/>
        <x:v>-402.98129240894951</x:v>
      </x:c>
      <x:c r="AK200" s="272">
        <x:f t="shared" si="307"/>
        <x:v>60.328243757649126</x:v>
      </x:c>
      <x:c r="AL200" s="272">
        <x:f t="shared" si="308"/>
        <x:v>-163.1058621134132</x:v>
      </x:c>
      <x:c r="AM200" s="272">
        <x:f t="shared" si="309"/>
        <x:v>197.42605569742182</x:v>
      </x:c>
      <x:c r="AN200" s="272">
        <x:f t="shared" si="310"/>
        <x:v>682.18389794206951</x:v>
      </x:c>
      <x:c r="AO200" s="272">
        <x:f t="shared" si="311"/>
        <x:v>290.99476606099398</x:v>
      </x:c>
      <x:c r="AP200" s="272">
        <x:f t="shared" si="312"/>
        <x:v>248.42288262963058</x:v>
      </x:c>
      <x:c r="AQ200" s="272">
        <x:f t="shared" si="313"/>
        <x:v>767.32766480479609</x:v>
      </x:c>
      <x:c r="AR200" s="272"/>
      <x:c r="AS200" s="286">
        <x:f t="shared" si="32"/>
        <x:v>-308.33285506729175</x:v>
      </x:c>
      <x:c r="AT200" s="286">
        <x:f t="shared" si="33"/>
        <x:v>1988.92921143749</x:v>
      </x:c>
      <x:c r="AY200" s="279">
        <x:f t="shared" si="314"/>
        <x:v>426.47524551476261</x:v>
      </x:c>
      <x:c r="AZ200" s="279">
        <x:f t="shared" si="315"/>
        <x:v>-426.47524551476261</x:v>
      </x:c>
      <x:c r="BA200" s="279">
        <x:f t="shared" si="316"/>
        <x:v>-351.55906252826799</x:v>
      </x:c>
      <x:c r="BB200" s="279">
        <x:f t="shared" si="317"/>
        <x:v>-351.55906252826799</x:v>
      </x:c>
      <x:c r="BC200" s="279"/>
      <x:c r="BD200" s="289">
        <x:f t="shared" si="265"/>
        <x:v>0</x:v>
      </x:c>
      <x:c r="BE200" s="289">
        <x:f t="shared" si="266"/>
        <x:v>-703.11812505653597</x:v>
      </x:c>
    </x:row>
    <x:row r="201" ht="15.75" customHeight="1">
      <x:c r="A201" s="21">
        <x:v>338</x:v>
      </x:c>
      <x:c r="B201" s="21">
        <x:f t="shared" si="19"/>
        <x:v>518</x:v>
      </x:c>
      <x:c r="C201" s="21">
        <x:f t="shared" si="0"/>
        <x:v>518</x:v>
      </x:c>
      <x:c r="D201" s="21">
        <x:f t="shared" si="20"/>
        <x:v>338</x:v>
      </x:c>
      <x:c r="E201" s="22" t="n">
        <x:f t="shared" ref="E201:H201" si="326">A201*PI()/180</x:f>
        <x:v>5.899212871740834</x:v>
      </x:c>
      <x:c r="F201" s="22">
        <x:f t="shared" si="326"/>
        <x:v>9.0408055253306259</x:v>
      </x:c>
      <x:c r="G201" s="22">
        <x:f t="shared" si="326"/>
        <x:v>9.0408055253306259</x:v>
      </x:c>
      <x:c r="H201" s="22">
        <x:f t="shared" si="326"/>
        <x:v>5.8992128717408336</x:v>
      </x:c>
      <x:c r="I201" s="23"/>
      <x:c r="J201" s="23"/>
      <x:c r="K201" s="23"/>
      <x:c r="L201" s="249">
        <x:f t="shared" si="298"/>
        <x:v>-512.28934740585487</x:v>
      </x:c>
      <x:c r="M201" s="249">
        <x:f t="shared" si="299"/>
        <x:v>512.28934740585623</x:v>
      </x:c>
      <x:c r="N201" s="249">
        <x:f t="shared" si="300"/>
        <x:v>512.28934740585623</x:v>
      </x:c>
      <x:c r="O201" s="249">
        <x:f t="shared" si="301"/>
        <x:v>-512.28934740585487</x:v>
      </x:c>
      <x:c r="P201" s="249">
        <x:f t="shared" si="302"/>
        <x:v>4011.0522527963576</x:v>
      </x:c>
      <x:c r="Q201" s="249">
        <x:f t="shared" si="303"/>
        <x:v>-2932.744726732953</x:v>
      </x:c>
      <x:c r="R201" s="249">
        <x:f t="shared" si="304"/>
        <x:v>-2932.744726732953</x:v>
      </x:c>
      <x:c r="S201" s="249">
        <x:f t="shared" si="305"/>
        <x:v>4011.0522527963576</x:v>
      </x:c>
      <x:c r="T201" s="23"/>
      <x:c r="U201" s="23"/>
      <x:c r="V201" s="260">
        <x:f t="shared" si="257"/>
        <x:v>3509.684434362498</x:v>
      </x:c>
      <x:c r="W201" s="260">
        <x:f t="shared" si="258"/>
        <x:v>2905.5474729383268</x:v>
      </x:c>
      <x:c r="X201" s="260">
        <x:f t="shared" si="259"/>
        <x:v>-2513.4581812796368</x:v>
      </x:c>
      <x:c r="Y201" s="260">
        <x:f t="shared" si="260"/>
        <x:v>-3901.773726021187</x:v>
      </x:c>
      <x:c r="Z201" s="260">
        <x:f t="shared" si="261"/>
        <x:v>2008.2568862876697</x:v>
      </x:c>
      <x:c r="AA201" s="260">
        <x:f t="shared" si="262"/>
        <x:v>-649.0191754849493</x:v>
      </x:c>
      <x:c r="AB201" s="260">
        <x:f t="shared" si="263"/>
        <x:v>-1595.6064610686185</x:v>
      </x:c>
      <x:c r="AC201" s="260">
        <x:f t="shared" si="264"/>
        <x:v>1061.6696007040027</x:v>
      </x:c>
      <x:c r="AD201" s="260"/>
      <x:c r="AE201" s="282">
        <x:f t="shared" si="39"/>
        <x:v>0</x:v>
      </x:c>
      <x:c r="AF201" s="282">
        <x:f t="shared" si="10"/>
        <x:v>825.30085043810459</x:v>
      </x:c>
      <x:c r="AJ201" s="272">
        <x:f t="shared" si="306"/>
        <x:v>-401.65137725753397</x:v>
      </x:c>
      <x:c r="AK201" s="272">
        <x:f t="shared" si="307"/>
        <x:v>64.901917548494936</x:v>
      </x:c>
      <x:c r="AL201" s="272">
        <x:f t="shared" si="308"/>
        <x:v>-159.56064610686187</x:v>
      </x:c>
      <x:c r="AM201" s="272">
        <x:f t="shared" si="309"/>
        <x:v>212.33392014080056</x:v>
      </x:c>
      <x:c r="AN201" s="272">
        <x:f t="shared" si="310"/>
        <x:v>701.9368868724996</x:v>
      </x:c>
      <x:c r="AO201" s="272">
        <x:f t="shared" si="311"/>
        <x:v>290.55474729383269</x:v>
      </x:c>
      <x:c r="AP201" s="272">
        <x:f t="shared" si="312"/>
        <x:v>251.3458181279637</x:v>
      </x:c>
      <x:c r="AQ201" s="272">
        <x:f t="shared" si="313"/>
        <x:v>780.35474520423747</x:v>
      </x:c>
      <x:c r="AR201" s="272"/>
      <x:c r="AS201" s="286">
        <x:f t="shared" si="32"/>
        <x:v>-283.97618567510034</x:v>
      </x:c>
      <x:c r="AT201" s="286">
        <x:f t="shared" si="33"/>
        <x:v>2024.1921974985335</x:v>
      </x:c>
      <x:c r="AY201" s="279">
        <x:f t="shared" si="314"/>
        <x:v>400.91285273649675</x:v>
      </x:c>
      <x:c r="AZ201" s="279">
        <x:f t="shared" si="315"/>
        <x:v>-400.91285273649675</x:v>
      </x:c>
      <x:c r="BA201" s="279">
        <x:f t="shared" si="316"/>
        <x:v>-380.45209158751618</x:v>
      </x:c>
      <x:c r="BB201" s="279">
        <x:f t="shared" si="317"/>
        <x:v>-380.45209158751618</x:v>
      </x:c>
      <x:c r="BC201" s="279"/>
      <x:c r="BD201" s="289">
        <x:f t="shared" si="265"/>
        <x:v>0</x:v>
      </x:c>
      <x:c r="BE201" s="289">
        <x:f t="shared" si="266"/>
        <x:v>-760.90418317503236</x:v>
      </x:c>
    </x:row>
    <x:row r="202" ht="15.75" customHeight="1">
      <x:c r="A202" s="21">
        <x:v>340</x:v>
      </x:c>
      <x:c r="B202" s="21">
        <x:f t="shared" si="19"/>
        <x:v>520</x:v>
      </x:c>
      <x:c r="C202" s="21">
        <x:f t="shared" si="0"/>
        <x:v>520</x:v>
      </x:c>
      <x:c r="D202" s="21">
        <x:f t="shared" si="20"/>
        <x:v>340</x:v>
      </x:c>
      <x:c r="E202" s="22" t="n">
        <x:f t="shared" ref="E202:H202" si="327">A202*PI()/180</x:f>
        <x:v>5.934119456780721</x:v>
      </x:c>
      <x:c r="F202" s="22">
        <x:f t="shared" si="327"/>
        <x:v>9.0757121103705138</x:v>
      </x:c>
      <x:c r="G202" s="22">
        <x:f t="shared" si="327"/>
        <x:v>9.0757121103705138</x:v>
      </x:c>
      <x:c r="H202" s="22">
        <x:f t="shared" si="327"/>
        <x:v>5.9341194567807207</x:v>
      </x:c>
      <x:c r="I202" s="23"/>
      <x:c r="J202" s="23"/>
      <x:c r="K202" s="23"/>
      <x:c r="L202" s="249">
        <x:f t="shared" si="298"/>
        <x:v>-467.72608678948336</x:v>
      </x:c>
      <x:c r="M202" s="249">
        <x:f t="shared" si="299"/>
        <x:v>467.72608678948353</x:v>
      </x:c>
      <x:c r="N202" s="249">
        <x:f t="shared" si="300"/>
        <x:v>467.72608678948353</x:v>
      </x:c>
      <x:c r="O202" s="249">
        <x:f t="shared" si="301"/>
        <x:v>-467.72608678948336</x:v>
      </x:c>
      <x:c r="P202" s="249">
        <x:f t="shared" si="302"/>
        <x:v>4092.8978047728442</x:v>
      </x:c>
      <x:c r="Q202" s="249">
        <x:f t="shared" si="303"/>
        <x:v>-2944.5789046850632</x:v>
      </x:c>
      <x:c r="R202" s="249">
        <x:f t="shared" si="304"/>
        <x:v>-2944.5789046850632</x:v>
      </x:c>
      <x:c r="S202" s="249">
        <x:f t="shared" si="305"/>
        <x:v>4092.8978047728442</x:v>
      </x:c>
      <x:c r="T202" s="23"/>
      <x:c r="U202" s="23"/>
      <x:c r="V202" s="260">
        <x:f t="shared" si="257"/>
        <x:v>3602.3534861907156</x:v>
      </x:c>
      <x:c r="W202" s="260">
        <x:f t="shared" si="258"/>
        <x:v>2899.4272062023242</x:v>
      </x:c>
      <x:c r="X202" s="260">
        <x:f t="shared" si="259"/>
        <x:v>-2541.4451576037413</x:v>
      </x:c>
      <x:c r="Y202" s="260">
        <x:f t="shared" si="260"/>
        <x:v>-3960.3355347892984</x:v>
      </x:c>
      <x:c r="Z202" s="260">
        <x:f t="shared" si="261"/>
        <x:v>1998.4067386564147</x:v>
      </x:c>
      <x:c r="AA202" s="260">
        <x:f t="shared" si="262"/>
        <x:v>-694.71900370831509</x:v>
      </x:c>
      <x:c r="AB202" s="260">
        <x:f t="shared" si="263"/>
        <x:v>-1558.9641205211183</x:v>
      </x:c>
      <x:c r="AC202" s="260">
        <x:f t="shared" si="264"/>
        <x:v>1134.161621843612</x:v>
      </x:c>
      <x:c r="AD202" s="260"/>
      <x:c r="AE202" s="282">
        <x:f t="shared" si="39"/>
        <x:v>0</x:v>
      </x:c>
      <x:c r="AF202" s="282">
        <x:f t="shared" si="10"/>
        <x:v>878.8852362705934</x:v>
      </x:c>
      <x:c r="AJ202" s="272">
        <x:f t="shared" si="306"/>
        <x:v>-399.68134773128298</x:v>
      </x:c>
      <x:c r="AK202" s="272">
        <x:f t="shared" si="307"/>
        <x:v>69.471900370831506</x:v>
      </x:c>
      <x:c r="AL202" s="272">
        <x:f t="shared" si="308"/>
        <x:v>-155.89641205211183</x:v>
      </x:c>
      <x:c r="AM202" s="272">
        <x:f t="shared" si="309"/>
        <x:v>226.83232436872242</x:v>
      </x:c>
      <x:c r="AN202" s="272">
        <x:f t="shared" si="310"/>
        <x:v>720.4706972381432</x:v>
      </x:c>
      <x:c r="AO202" s="272">
        <x:f t="shared" si="311"/>
        <x:v>289.94272062023242</x:v>
      </x:c>
      <x:c r="AP202" s="272">
        <x:f t="shared" si="312"/>
        <x:v>254.14451576037413</x:v>
      </x:c>
      <x:c r="AQ202" s="272">
        <x:f t="shared" si="313"/>
        <x:v>792.06710695785978</x:v>
      </x:c>
      <x:c r="AR202" s="272"/>
      <x:c r="AS202" s="286">
        <x:f t="shared" si="32"/>
        <x:v>-259.27353504384087</x:v>
      </x:c>
      <x:c r="AT202" s="286">
        <x:f t="shared" si="33"/>
        <x:v>2056.6250405766095</x:v>
      </x:c>
      <x:c r="AY202" s="279">
        <x:f t="shared" si="314"/>
        <x:v>373.39725283931836</x:v>
      </x:c>
      <x:c r="AZ202" s="279">
        <x:f t="shared" si="315"/>
        <x:v>-373.39725283931836</x:v>
      </x:c>
      <x:c r="BA202" s="279">
        <x:f t="shared" si="316"/>
        <x:v>-407.49159629945973</x:v>
      </x:c>
      <x:c r="BB202" s="279">
        <x:f t="shared" si="317"/>
        <x:v>-407.49159629945973</x:v>
      </x:c>
      <x:c r="BC202" s="279"/>
      <x:c r="BD202" s="289">
        <x:f t="shared" si="265"/>
        <x:v>0</x:v>
      </x:c>
      <x:c r="BE202" s="289">
        <x:f t="shared" si="266"/>
        <x:v>-814.98319259891946</x:v>
      </x:c>
    </x:row>
    <x:row r="203" ht="15.75" customHeight="1">
      <x:c r="A203" s="21">
        <x:v>342</x:v>
      </x:c>
      <x:c r="B203" s="21">
        <x:f t="shared" si="19"/>
        <x:v>522</x:v>
      </x:c>
      <x:c r="C203" s="21">
        <x:f t="shared" si="0"/>
        <x:v>522</x:v>
      </x:c>
      <x:c r="D203" s="21">
        <x:f t="shared" si="20"/>
        <x:v>342</x:v>
      </x:c>
      <x:c r="E203" s="22" t="n">
        <x:f t="shared" ref="E203:H203" si="328">A203*PI()/180</x:f>
        <x:v>5.969026041820607</x:v>
      </x:c>
      <x:c r="F203" s="22">
        <x:f t="shared" si="328"/>
        <x:v>9.1106186954104</x:v>
      </x:c>
      <x:c r="G203" s="22">
        <x:f t="shared" si="328"/>
        <x:v>9.1106186954104</x:v>
      </x:c>
      <x:c r="H203" s="22">
        <x:f t="shared" si="328"/>
        <x:v>5.9690260418206069</x:v>
      </x:c>
      <x:c r="I203" s="23"/>
      <x:c r="J203" s="23"/>
      <x:c r="K203" s="23"/>
      <x:c r="L203" s="249">
        <x:f t="shared" si="298"/>
        <x:v>-422.59297398404038</x:v>
      </x:c>
      <x:c r="M203" s="249">
        <x:f t="shared" si="299"/>
        <x:v>422.59297398404061</x:v>
      </x:c>
      <x:c r="N203" s="249">
        <x:f t="shared" si="300"/>
        <x:v>422.59297398404061</x:v>
      </x:c>
      <x:c r="O203" s="249">
        <x:f t="shared" si="301"/>
        <x:v>-422.59297398404038</x:v>
      </x:c>
      <x:c r="P203" s="249">
        <x:f t="shared" si="302"/>
        <x:v>4167.659068957877</x:v>
      </x:c>
      <x:c r="Q203" s="249">
        <x:f t="shared" si="303"/>
        <x:v>-2954.9232890983353</x:v>
      </x:c>
      <x:c r="R203" s="249">
        <x:f t="shared" si="304"/>
        <x:v>-2954.9232890983353</x:v>
      </x:c>
      <x:c r="S203" s="249">
        <x:f t="shared" si="305"/>
        <x:v>4167.659068957877</x:v>
      </x:c>
      <x:c r="T203" s="23"/>
      <x:c r="U203" s="23"/>
      <x:c r="V203" s="260">
        <x:f t="shared" si="257"/>
        <x:v>3688.6955825176442</x:v>
      </x:c>
      <x:c r="W203" s="260">
        <x:f t="shared" si="258"/>
        <x:v>2891.7124767164678</x:v>
      </x:c>
      <x:c r="X203" s="260">
        <x:f t="shared" si="259"/>
        <x:v>-2568.2738171613</x:v>
      </x:c>
      <x:c r="Y203" s="260">
        <x:f t="shared" si="260"/>
        <x:v>-4012.134242072812</x:v>
      </x:c>
      <x:c r="Z203" s="260">
        <x:f t="shared" si="261"/>
        <x:v>1985.3190766832245</x:v>
      </x:c>
      <x:c r="AA203" s="260">
        <x:f t="shared" si="262"/>
        <x:v>-740.37518740076177</x:v>
      </x:c>
      <x:c r="AB203" s="260">
        <x:f t="shared" si="263"/>
        <x:v>-1521.2251858946215</x:v>
      </x:c>
      <x:c r="AC203" s="260">
        <x:f t="shared" si="264"/>
        <x:v>1204.4690781893655</x:v>
      </x:c>
      <x:c r="AD203" s="260"/>
      <x:c r="AE203" s="282">
        <x:f t="shared" si="39"/>
        <x:v>0</x:v>
      </x:c>
      <x:c r="AF203" s="282">
        <x:f t="shared" si="10"/>
        <x:v>928.18778157720681</x:v>
      </x:c>
      <x:c r="AJ203" s="272">
        <x:f t="shared" si="306"/>
        <x:v>-397.06381533664489</x:v>
      </x:c>
      <x:c r="AK203" s="272">
        <x:f t="shared" si="307"/>
        <x:v>74.03751874007618</x:v>
      </x:c>
      <x:c r="AL203" s="272">
        <x:f t="shared" si="308"/>
        <x:v>-152.12251858946215</x:v>
      </x:c>
      <x:c r="AM203" s="272">
        <x:f t="shared" si="309"/>
        <x:v>240.8938156378731</x:v>
      </x:c>
      <x:c r="AN203" s="272">
        <x:f t="shared" si="310"/>
        <x:v>737.73911650352886</x:v>
      </x:c>
      <x:c r="AO203" s="272">
        <x:f t="shared" si="311"/>
        <x:v>289.17124767164677</x:v>
      </x:c>
      <x:c r="AP203" s="272">
        <x:f t="shared" si="312"/>
        <x:v>256.82738171612999</x:v>
      </x:c>
      <x:c r="AQ203" s="272">
        <x:f t="shared" si="313"/>
        <x:v>802.42684841456241</x:v>
      </x:c>
      <x:c r="AR203" s="272"/>
      <x:c r="AS203" s="286">
        <x:f t="shared" si="32"/>
        <x:v>-234.2549995481578</x:v>
      </x:c>
      <x:c r="AT203" s="286">
        <x:f t="shared" si="33"/>
        <x:v>2086.1645943058679</x:v>
      </x:c>
      <x:c r="AY203" s="279">
        <x:f t="shared" si="314"/>
        <x:v>344.06249906006667</x:v>
      </x:c>
      <x:c r="AZ203" s="279">
        <x:f t="shared" si="315"/>
        <x:v>-344.06249906006667</x:v>
      </x:c>
      <x:c r="BA203" s="279">
        <x:f t="shared" si="316"/>
        <x:v>-432.54584291514504</x:v>
      </x:c>
      <x:c r="BB203" s="279">
        <x:f t="shared" si="317"/>
        <x:v>-432.54584291514504</x:v>
      </x:c>
      <x:c r="BC203" s="279"/>
      <x:c r="BD203" s="289">
        <x:f t="shared" si="265"/>
        <x:v>0</x:v>
      </x:c>
      <x:c r="BE203" s="289">
        <x:f t="shared" si="266"/>
        <x:v>-865.09168583029009</x:v>
      </x:c>
    </x:row>
    <x:row r="204" ht="15.75" customHeight="1">
      <x:c r="A204" s="21">
        <x:v>344</x:v>
      </x:c>
      <x:c r="B204" s="21">
        <x:f t="shared" si="19"/>
        <x:v>524</x:v>
      </x:c>
      <x:c r="C204" s="21">
        <x:f t="shared" si="0"/>
        <x:v>524</x:v>
      </x:c>
      <x:c r="D204" s="21">
        <x:f t="shared" si="20"/>
        <x:v>344</x:v>
      </x:c>
      <x:c r="E204" s="22" t="n">
        <x:f t="shared" ref="E204:H204" si="329">A204*PI()/180</x:f>
        <x:v>6.003932626860493</x:v>
      </x:c>
      <x:c r="F204" s="22">
        <x:f t="shared" si="329"/>
        <x:v>9.145525280450288</x:v>
      </x:c>
      <x:c r="G204" s="22">
        <x:f t="shared" si="329"/>
        <x:v>9.145525280450288</x:v>
      </x:c>
      <x:c r="H204" s="22">
        <x:f t="shared" si="329"/>
        <x:v>6.0039326268604931</x:v>
      </x:c>
      <x:c r="I204" s="23"/>
      <x:c r="J204" s="23"/>
      <x:c r="K204" s="23"/>
      <x:c r="L204" s="249">
        <x:f t="shared" si="298"/>
        <x:v>-376.94499673525542</x:v>
      </x:c>
      <x:c r="M204" s="249">
        <x:f t="shared" si="299"/>
        <x:v>376.94499673525331</x:v>
      </x:c>
      <x:c r="N204" s="249">
        <x:f t="shared" si="300"/>
        <x:v>376.94499673525331</x:v>
      </x:c>
      <x:c r="O204" s="249">
        <x:f t="shared" si="301"/>
        <x:v>-376.94499673525542</x:v>
      </x:c>
      <x:c r="P204" s="249">
        <x:f t="shared" si="302"/>
        <x:v>4235.1272850082651</x:v>
      </x:c>
      <x:c r="Q204" s="249">
        <x:f t="shared" si="303"/>
        <x:v>-2963.8829521926655</x:v>
      </x:c>
      <x:c r="R204" s="249">
        <x:f t="shared" si="304"/>
        <x:v>-2963.8829521926655</x:v>
      </x:c>
      <x:c r="S204" s="249">
        <x:f t="shared" si="305"/>
        <x:v>4235.1272850082651</x:v>
      </x:c>
      <x:c r="T204" s="23"/>
      <x:c r="U204" s="23"/>
      <x:c r="V204" s="260">
        <x:f t="shared" si="257"/>
        <x:v>3768.4968110357358</x:v>
      </x:c>
      <x:c r="W204" s="260">
        <x:f t="shared" si="258"/>
        <x:v>2882.5214014534263</x:v>
      </x:c>
      <x:c r="X204" s="260">
        <x:f t="shared" si="259"/>
        <x:v>-2594.020191126438</x:v>
      </x:c>
      <x:c r="Y204" s="260">
        <x:f t="shared" si="260"/>
        <x:v>-4056.9980213627259</x:v>
      </x:c>
      <x:c r="Z204" s="260">
        <x:f t="shared" si="261"/>
        <x:v>1968.9648132962432</x:v>
      </x:c>
      <x:c r="AA204" s="260">
        <x:f t="shared" si="262"/>
        <x:v>-785.97713390723038</x:v>
      </x:c>
      <x:c r="AB204" s="260">
        <x:f t="shared" si="263"/>
        <x:v>-1482.4806686396992</x:v>
      </x:c>
      <x:c r="AC204" s="260">
        <x:f t="shared" si="264"/>
        <x:v>1272.4612785637707</x:v>
      </x:c>
      <x:c r="AD204" s="260"/>
      <x:c r="AE204" s="282">
        <x:f t="shared" si="39"/>
        <x:v>0</x:v>
      </x:c>
      <x:c r="AF204" s="282">
        <x:f t="shared" si="10"/>
        <x:v>972.96828931308437</x:v>
      </x:c>
      <x:c r="AJ204" s="272">
        <x:f t="shared" si="306"/>
        <x:v>-393.79296265924864</x:v>
      </x:c>
      <x:c r="AK204" s="272">
        <x:f t="shared" si="307"/>
        <x:v>78.597713390723044</x:v>
      </x:c>
      <x:c r="AL204" s="272">
        <x:f t="shared" si="308"/>
        <x:v>-148.24806686396991</x:v>
      </x:c>
      <x:c r="AM204" s="272">
        <x:f t="shared" si="309"/>
        <x:v>254.49225571275417</x:v>
      </x:c>
      <x:c r="AN204" s="272">
        <x:f t="shared" si="310"/>
        <x:v>753.69936220714726</x:v>
      </x:c>
      <x:c r="AO204" s="272">
        <x:f t="shared" si="311"/>
        <x:v>288.25214014534265</x:v>
      </x:c>
      <x:c r="AP204" s="272">
        <x:f t="shared" si="312"/>
        <x:v>259.40201911264381</x:v>
      </x:c>
      <x:c r="AQ204" s="272">
        <x:f t="shared" si="313"/>
        <x:v>811.39960427254528</x:v>
      </x:c>
      <x:c r="AR204" s="272"/>
      <x:c r="AS204" s="286">
        <x:f t="shared" si="32"/>
        <x:v>-208.95106041974134</x:v>
      </x:c>
      <x:c r="AT204" s="286">
        <x:f t="shared" si="33"/>
        <x:v>2112.7531257376791</x:v>
      </x:c>
      <x:c r="AY204" s="279">
        <x:f t="shared" si="314"/>
        <x:v>313.05150737043658</x:v>
      </x:c>
      <x:c r="AZ204" s="279">
        <x:f t="shared" si="315"/>
        <x:v>-313.05150737043658</x:v>
      </x:c>
      <x:c r="BA204" s="279">
        <x:f t="shared" si="316"/>
        <x:v>-455.49276966350317</x:v>
      </x:c>
      <x:c r="BB204" s="279">
        <x:f t="shared" si="317"/>
        <x:v>-455.49276966350317</x:v>
      </x:c>
      <x:c r="BC204" s="279"/>
      <x:c r="BD204" s="289">
        <x:f t="shared" si="265"/>
        <x:v>0</x:v>
      </x:c>
      <x:c r="BE204" s="289">
        <x:f t="shared" si="266"/>
        <x:v>-910.98553932700634</x:v>
      </x:c>
    </x:row>
    <x:row r="205" ht="15.75" customHeight="1">
      <x:c r="A205" s="21">
        <x:v>346</x:v>
      </x:c>
      <x:c r="B205" s="21">
        <x:f t="shared" si="19"/>
        <x:v>526</x:v>
      </x:c>
      <x:c r="C205" s="21">
        <x:f t="shared" si="0"/>
        <x:v>526</x:v>
      </x:c>
      <x:c r="D205" s="21">
        <x:f t="shared" si="20"/>
        <x:v>346</x:v>
      </x:c>
      <x:c r="E205" s="22" t="n">
        <x:f t="shared" ref="E205:H205" si="330">A205*PI()/180</x:f>
        <x:v>6.03883921190038</x:v>
      </x:c>
      <x:c r="F205" s="22">
        <x:f t="shared" si="330"/>
        <x:v>9.1804318654901742</x:v>
      </x:c>
      <x:c r="G205" s="22">
        <x:f t="shared" si="330"/>
        <x:v>9.1804318654901742</x:v>
      </x:c>
      <x:c r="H205" s="22">
        <x:f t="shared" si="330"/>
        <x:v>6.0388392119003802</x:v>
      </x:c>
      <x:c r="I205" s="23"/>
      <x:c r="J205" s="23"/>
      <x:c r="K205" s="23"/>
      <x:c r="L205" s="249">
        <x:f t="shared" si="298"/>
        <x:v>-330.83777007187297</x:v>
      </x:c>
      <x:c r="M205" s="249">
        <x:f t="shared" si="299"/>
        <x:v>330.83777007187194</x:v>
      </x:c>
      <x:c r="N205" s="249">
        <x:f t="shared" si="300"/>
        <x:v>330.83777007187194</x:v>
      </x:c>
      <x:c r="O205" s="249">
        <x:f t="shared" si="301"/>
        <x:v>-330.83777007187297</x:v>
      </x:c>
      <x:c r="P205" s="249">
        <x:f t="shared" si="302"/>
        <x:v>4295.1133712306773</x:v>
      </x:c>
      <x:c r="Q205" s="249">
        <x:f t="shared" si="303"/>
        <x:v>-2971.5538600634609</x:v>
      </x:c>
      <x:c r="R205" s="249">
        <x:f t="shared" si="304"/>
        <x:v>-2971.5538600634609</x:v>
      </x:c>
      <x:c r="S205" s="249">
        <x:f t="shared" si="305"/>
        <x:v>4295.1133712306773</x:v>
      </x:c>
      <x:c r="T205" s="23"/>
      <x:c r="U205" s="23"/>
      <x:c r="V205" s="260">
        <x:f t="shared" si="257"/>
        <x:v>3841.561200088458</x:v>
      </x:c>
      <x:c r="W205" s="260">
        <x:f t="shared" si="258"/>
        <x:v>2871.9639244746563</x:v>
      </x:c>
      <x:c r="X205" s="260">
        <x:f t="shared" si="259"/>
        <x:v>-2618.7516576604235</x:v>
      </x:c>
      <x:c r="Y205" s="260">
        <x:f t="shared" si="260"/>
        <x:v>-4094.7734669026918</x:v>
      </x:c>
      <x:c r="Z205" s="260">
        <x:f t="shared" si="261"/>
        <x:v>1949.3229716508263</x:v>
      </x:c>
      <x:c r="AA205" s="260">
        <x:f t="shared" si="262"/>
        <x:v>-831.51018627573933</x:v>
      </x:c>
      <x:c r="AB205" s="260">
        <x:f t="shared" si="263"/>
        <x:v>-1442.8186749778947</x:v>
      </x:c>
      <x:c r="AC205" s="260">
        <x:f t="shared" si="264"/>
        <x:v>1338.0144829486694</x:v>
      </x:c>
      <x:c r="AD205" s="260"/>
      <x:c r="AE205" s="282">
        <x:f t="shared" si="39"/>
        <x:v>0</x:v>
      </x:c>
      <x:c r="AF205" s="282">
        <x:f t="shared" si="10"/>
        <x:v>1013.0085933458618</x:v>
      </x:c>
      <x:c r="AJ205" s="272">
        <x:f t="shared" si="306"/>
        <x:v>-389.86459433016529</x:v>
      </x:c>
      <x:c r="AK205" s="272">
        <x:f t="shared" si="307"/>
        <x:v>83.151018627573933</x:v>
      </x:c>
      <x:c r="AL205" s="272">
        <x:f t="shared" si="308"/>
        <x:v>-144.28186749778948</x:v>
      </x:c>
      <x:c r="AM205" s="272">
        <x:f t="shared" si="309"/>
        <x:v>267.60289658973392</x:v>
      </x:c>
      <x:c r="AN205" s="272">
        <x:f t="shared" si="310"/>
        <x:v>768.31224001769169</x:v>
      </x:c>
      <x:c r="AO205" s="272">
        <x:f t="shared" si="311"/>
        <x:v>287.19639244746566</x:v>
      </x:c>
      <x:c r="AP205" s="272">
        <x:f t="shared" si="312"/>
        <x:v>261.87516576604236</x:v>
      </x:c>
      <x:c r="AQ205" s="272">
        <x:f t="shared" si="313"/>
        <x:v>818.9546933805384</x:v>
      </x:c>
      <x:c r="AR205" s="272"/>
      <x:c r="AS205" s="286">
        <x:f t="shared" si="32"/>
        <x:v>-183.39254661064689</x:v>
      </x:c>
      <x:c r="AT205" s="286">
        <x:f t="shared" si="33"/>
        <x:v>2136.3384916117384</x:v>
      </x:c>
      <x:c r="AY205" s="279">
        <x:f t="shared" si="314"/>
        <x:v>280.51536020472435</x:v>
      </x:c>
      <x:c r="AZ205" s="279">
        <x:f t="shared" si="315"/>
        <x:v>-280.51536020472435</x:v>
      </x:c>
      <x:c r="BA205" s="279">
        <x:f t="shared" si="316"/>
        <x:v>-476.22058142403444</x:v>
      </x:c>
      <x:c r="BB205" s="279">
        <x:f t="shared" si="317"/>
        <x:v>-476.22058142403444</x:v>
      </x:c>
      <x:c r="BC205" s="279"/>
      <x:c r="BD205" s="289">
        <x:f t="shared" si="265"/>
        <x:v>0</x:v>
      </x:c>
      <x:c r="BE205" s="289">
        <x:f t="shared" si="266"/>
        <x:v>-952.44116284806887</x:v>
      </x:c>
    </x:row>
    <x:row r="206" ht="15.75" customHeight="1">
      <x:c r="A206" s="21">
        <x:v>348</x:v>
      </x:c>
      <x:c r="B206" s="21">
        <x:f t="shared" si="19"/>
        <x:v>528</x:v>
      </x:c>
      <x:c r="C206" s="21">
        <x:f t="shared" si="0"/>
        <x:v>528</x:v>
      </x:c>
      <x:c r="D206" s="21">
        <x:f t="shared" si="20"/>
        <x:v>348</x:v>
      </x:c>
      <x:c r="E206" s="22" t="n">
        <x:f t="shared" ref="E206:H206" si="331">A206*PI()/180</x:f>
        <x:v>6.073745796940266</x:v>
      </x:c>
      <x:c r="F206" s="22">
        <x:f t="shared" si="331"/>
        <x:v>9.2153384505300604</x:v>
      </x:c>
      <x:c r="G206" s="22">
        <x:f t="shared" si="331"/>
        <x:v>9.2153384505300604</x:v>
      </x:c>
      <x:c r="H206" s="22">
        <x:f t="shared" si="331"/>
        <x:v>6.0737457969402664</x:v>
      </x:c>
      <x:c r="I206" s="23"/>
      <x:c r="J206" s="23"/>
      <x:c r="K206" s="23"/>
      <x:c r="L206" s="249">
        <x:f t="shared" si="298"/>
        <x:v>-284.32746854731084</x:v>
      </x:c>
      <x:c r="M206" s="249">
        <x:f t="shared" si="299"/>
        <x:v>284.32746854730982</x:v>
      </x:c>
      <x:c r="N206" s="249">
        <x:f t="shared" si="300"/>
        <x:v>284.32746854730982</x:v>
      </x:c>
      <x:c r="O206" s="249">
        <x:f t="shared" si="301"/>
        <x:v>-284.32746854731084</x:v>
      </x:c>
      <x:c r="P206" s="249">
        <x:f t="shared" si="302"/>
        <x:v>4347.4486756672268</x:v>
      </x:c>
      <x:c r="Q206" s="249">
        <x:f t="shared" si="303"/>
        <x:v>-2978.0222350430654</x:v>
      </x:c>
      <x:c r="R206" s="249">
        <x:f t="shared" si="304"/>
        <x:v>-2978.0222350430654</x:v>
      </x:c>
      <x:c r="S206" s="249">
        <x:f t="shared" si="305"/>
        <x:v>4347.4486756672268</x:v>
      </x:c>
      <x:c r="T206" s="23"/>
      <x:c r="U206" s="23"/>
      <x:c r="V206" s="260">
        <x:f t="shared" si="257"/>
        <x:v>3907.711438512888</x:v>
      </x:c>
      <x:c r="W206" s="260">
        <x:f t="shared" si="258"/>
        <x:v>2860.1412018991659</x:v>
      </x:c>
      <x:c r="X206" s="260">
        <x:f t="shared" si="259"/>
        <x:v>-2642.5263787404429</x:v>
      </x:c>
      <x:c r="Y206" s="260">
        <x:f t="shared" si="260"/>
        <x:v>-4125.326261671612</x:v>
      </x:c>
      <x:c r="Z206" s="260">
        <x:f t="shared" si="261"/>
        <x:v>1926.3809099570058</x:v>
      </x:c>
      <x:c r="AA206" s="260">
        <x:f t="shared" si="262"/>
        <x:v>-876.95544184423056</x:v>
      </x:c>
      <x:c r="AB206" s="260">
        <x:f t="shared" si="263"/>
        <x:v>-1402.3240992874428</x:v>
      </x:c>
      <x:c r="AC206" s="260">
        <x:f t="shared" si="264"/>
        <x:v>1401.0122525137913</x:v>
      </x:c>
      <x:c r="AD206" s="260"/>
      <x:c r="AE206" s="282">
        <x:f t="shared" si="39"/>
        <x:v>0</x:v>
      </x:c>
      <x:c r="AF206" s="282">
        <x:f t="shared" si="10"/>
        <x:v>1048.1136213391237</x:v>
      </x:c>
      <x:c r="AJ206" s="272">
        <x:f t="shared" si="306"/>
        <x:v>-385.27618199140119</x:v>
      </x:c>
      <x:c r="AK206" s="272">
        <x:f t="shared" si="307"/>
        <x:v>87.695544184423056</x:v>
      </x:c>
      <x:c r="AL206" s="272">
        <x:f t="shared" si="308"/>
        <x:v>-140.23240992874429</x:v>
      </x:c>
      <x:c r="AM206" s="272">
        <x:f t="shared" si="309"/>
        <x:v>280.20245050275827</x:v>
      </x:c>
      <x:c r="AN206" s="272">
        <x:f t="shared" si="310"/>
        <x:v>781.5422877025776</x:v>
      </x:c>
      <x:c r="AO206" s="272">
        <x:f t="shared" si="311"/>
        <x:v>286.01412018991658</x:v>
      </x:c>
      <x:c r="AP206" s="272">
        <x:f t="shared" si="312"/>
        <x:v>264.2526378740443</x:v>
      </x:c>
      <x:c r="AQ206" s="272">
        <x:f t="shared" si="313"/>
        <x:v>825.06525233432239</x:v>
      </x:c>
      <x:c r="AR206" s="272"/>
      <x:c r="AS206" s="286">
        <x:f t="shared" si="32"/>
        <x:v>-157.61059723296415</x:v>
      </x:c>
      <x:c r="AT206" s="286">
        <x:f t="shared" si="33"/>
        <x:v>2156.8742981008609</x:v>
      </x:c>
      <x:c r="AY206" s="279">
        <x:f t="shared" si="314"/>
        <x:v>246.61257040140103</x:v>
      </x:c>
      <x:c r="AZ206" s="279">
        <x:f t="shared" si="315"/>
        <x:v>-246.61257040140103</x:v>
      </x:c>
      <x:c r="BA206" s="279">
        <x:f t="shared" si="316"/>
        <x:v>-494.62829438139278</x:v>
      </x:c>
      <x:c r="BB206" s="279">
        <x:f t="shared" si="317"/>
        <x:v>-494.62829438139278</x:v>
      </x:c>
      <x:c r="BC206" s="279"/>
      <x:c r="BD206" s="289">
        <x:f t="shared" si="265"/>
        <x:v>0</x:v>
      </x:c>
      <x:c r="BE206" s="289">
        <x:f t="shared" si="266"/>
        <x:v>-989.25658876278555</x:v>
      </x:c>
    </x:row>
    <x:row r="207" ht="15.75" customHeight="1">
      <x:c r="A207" s="21">
        <x:v>350</x:v>
      </x:c>
      <x:c r="B207" s="21">
        <x:f t="shared" si="19"/>
        <x:v>530</x:v>
      </x:c>
      <x:c r="C207" s="21">
        <x:f t="shared" si="0"/>
        <x:v>530</x:v>
      </x:c>
      <x:c r="D207" s="21">
        <x:f t="shared" si="20"/>
        <x:v>350</x:v>
      </x:c>
      <x:c r="E207" s="22" t="n">
        <x:f t="shared" ref="E207:H207" si="332">A207*PI()/180</x:f>
        <x:v>6.108652381980153</x:v>
      </x:c>
      <x:c r="F207" s="22">
        <x:f t="shared" si="332"/>
        <x:v>9.2502450355699466</x:v>
      </x:c>
      <x:c r="G207" s="22">
        <x:f t="shared" si="332"/>
        <x:v>9.2502450355699466</x:v>
      </x:c>
      <x:c r="H207" s="22">
        <x:f t="shared" si="332"/>
        <x:v>6.1086523819801526</x:v>
      </x:c>
      <x:c r="I207" s="23"/>
      <x:c r="J207" s="23"/>
      <x:c r="K207" s="23"/>
      <x:c r="L207" s="249">
        <x:f t="shared" si="298"/>
        <x:v>-237.47075779961284</x:v>
      </x:c>
      <x:c r="M207" s="249">
        <x:f t="shared" si="299"/>
        <x:v>237.47075779961179</x:v>
      </x:c>
      <x:c r="N207" s="249">
        <x:f t="shared" si="300"/>
        <x:v>237.47075779961179</x:v>
      </x:c>
      <x:c r="O207" s="249">
        <x:f t="shared" si="301"/>
        <x:v>-237.47075779961284</x:v>
      </x:c>
      <x:c r="P207" s="249">
        <x:f t="shared" si="302"/>
        <x:v>4391.9856471703424</x:v>
      </x:c>
      <x:c r="Q207" s="249">
        <x:f t="shared" si="303"/>
        <x:v>-2983.3639850536924</x:v>
      </x:c>
      <x:c r="R207" s="249">
        <x:f t="shared" si="304"/>
        <x:v>-2983.3639850536924</x:v>
      </x:c>
      <x:c r="S207" s="249">
        <x:f t="shared" si="305"/>
        <x:v>4391.9856471703424</x:v>
      </x:c>
      <x:c r="T207" s="23"/>
      <x:c r="U207" s="23"/>
      <x:c r="V207" s="260">
        <x:f t="shared" si="257"/>
        <x:v>3966.7895218229223</x:v>
      </x:c>
      <x:c r="W207" s="260">
        <x:f t="shared" si="258"/>
        <x:v>2847.1450485035093</x:v>
      </x:c>
      <x:c r="X207" s="260">
        <x:f t="shared" si="259"/>
        <x:v>-2665.3927991413202</x:v>
      </x:c>
      <x:c r="Y207" s="260">
        <x:f t="shared" si="260"/>
        <x:v>-4148.5417711851114</x:v>
      </x:c>
      <x:c r="Z207" s="260">
        <x:f t="shared" si="261"/>
        <x:v>1900.1345150583643</x:v>
      </x:c>
      <x:c r="AA207" s="260">
        <x:f t="shared" si="262"/>
        <x:v>-922.28959709373328</x:v>
      </x:c>
      <x:c r="AB207" s="260">
        <x:f t="shared" si="263"/>
        <x:v>-1361.078342495746</x:v>
      </x:c>
      <x:c r="AC207" s="260">
        <x:f t="shared" si="264"/>
        <x:v>1461.3457696563496</x:v>
      </x:c>
      <x:c r="AD207" s="260"/>
      <x:c r="AE207" s="282">
        <x:f t="shared" si="39"/>
        <x:v>0</x:v>
      </x:c>
      <x:c r="AF207" s="282">
        <x:f t="shared" si="10"/>
        <x:v>1078.1123451252347</x:v>
      </x:c>
      <x:c r="AJ207" s="272">
        <x:f t="shared" si="306"/>
        <x:v>-380.02690301167286</x:v>
      </x:c>
      <x:c r="AK207" s="272">
        <x:f t="shared" si="307"/>
        <x:v>92.228959709373328</x:v>
      </x:c>
      <x:c r="AL207" s="272">
        <x:f t="shared" si="308"/>
        <x:v>-136.10783424957461</x:v>
      </x:c>
      <x:c r="AM207" s="272">
        <x:f t="shared" si="309"/>
        <x:v>292.26915393126995</x:v>
      </x:c>
      <x:c r="AN207" s="272">
        <x:f t="shared" si="310"/>
        <x:v>793.35790436458456</x:v>
      </x:c>
      <x:c r="AO207" s="272">
        <x:f t="shared" si="311"/>
        <x:v>284.71450485035092</x:v>
      </x:c>
      <x:c r="AP207" s="272">
        <x:f t="shared" si="312"/>
        <x:v>266.53927991413201</x:v>
      </x:c>
      <x:c r="AQ207" s="272">
        <x:f t="shared" si="313"/>
        <x:v>829.70835423702238</x:v>
      </x:c>
      <x:c r="AR207" s="272"/>
      <x:c r="AS207" s="286">
        <x:f t="shared" si="32"/>
        <x:v>-131.63662362060421</x:v>
      </x:c>
      <x:c r="AT207" s="286">
        <x:f t="shared" si="33"/>
        <x:v>2174.32004336609</x:v>
      </x:c>
      <x:c r="AY207" s="279">
        <x:f t="shared" si="314"/>
        <x:v>211.50830894449098</x:v>
      </x:c>
      <x:c r="AZ207" s="279">
        <x:f t="shared" si="315"/>
        <x:v>-211.50830894449098</x:v>
      </x:c>
      <x:c r="BA207" s="279">
        <x:f t="shared" si="316"/>
        <x:v>-510.62622800838727</x:v>
      </x:c>
      <x:c r="BB207" s="279">
        <x:f t="shared" si="317"/>
        <x:v>-510.62622800838727</x:v>
      </x:c>
      <x:c r="BC207" s="279"/>
      <x:c r="BD207" s="289">
        <x:f t="shared" si="265"/>
        <x:v>0</x:v>
      </x:c>
      <x:c r="BE207" s="289">
        <x:f t="shared" si="266"/>
        <x:v>-1021.2524560167745</x:v>
      </x:c>
    </x:row>
    <x:row r="208" ht="15.75" customHeight="1">
      <x:c r="A208" s="21">
        <x:v>352</x:v>
      </x:c>
      <x:c r="B208" s="21">
        <x:f t="shared" si="19"/>
        <x:v>532</x:v>
      </x:c>
      <x:c r="C208" s="21">
        <x:f t="shared" si="0"/>
        <x:v>532</x:v>
      </x:c>
      <x:c r="D208" s="21">
        <x:f t="shared" si="20"/>
        <x:v>352</x:v>
      </x:c>
      <x:c r="E208" s="22" t="n">
        <x:f t="shared" ref="E208:H208" si="333">A208*PI()/180</x:f>
        <x:v>6.14355896702004</x:v>
      </x:c>
      <x:c r="F208" s="22">
        <x:f t="shared" si="333"/>
        <x:v>9.2851516206098328</x:v>
      </x:c>
      <x:c r="G208" s="22">
        <x:f t="shared" si="333"/>
        <x:v>9.2851516206098328</x:v>
      </x:c>
      <x:c r="H208" s="22">
        <x:f t="shared" si="333"/>
        <x:v>6.1435589670200397</x:v>
      </x:c>
      <x:c r="I208" s="23"/>
      <x:c r="J208" s="23"/>
      <x:c r="K208" s="23"/>
      <x:c r="L208" s="249">
        <x:f t="shared" si="298"/>
        <x:v>-190.3247255131009</x:v>
      </x:c>
      <x:c r="M208" s="249">
        <x:f t="shared" si="299"/>
        <x:v>190.32472551310104</x:v>
      </x:c>
      <x:c r="N208" s="249">
        <x:f t="shared" si="300"/>
        <x:v>190.32472551310104</x:v>
      </x:c>
      <x:c r="O208" s="249">
        <x:f t="shared" si="301"/>
        <x:v>-190.3247255131009</x:v>
      </x:c>
      <x:c r="P208" s="249">
        <x:f t="shared" si="302"/>
        <x:v>4428.5984233809468</x:v>
      </x:c>
      <x:c r="Q208" s="249">
        <x:f t="shared" si="303"/>
        <x:v>-2987.6442029154855</x:v>
      </x:c>
      <x:c r="R208" s="249">
        <x:f t="shared" si="304"/>
        <x:v>-2987.6442029154855</x:v>
      </x:c>
      <x:c r="S208" s="249">
        <x:f t="shared" si="305"/>
        <x:v>4428.5984233809468</x:v>
      </x:c>
      <x:c r="T208" s="23"/>
      <x:c r="U208" s="23"/>
      <x:c r="V208" s="260">
        <x:f t="shared" si="257"/>
        <x:v>4018.6573218501135</x:v>
      </x:c>
      <x:c r="W208" s="260">
        <x:f t="shared" si="258"/>
        <x:v>2833.0574487229114</x:v>
      </x:c>
      <x:c r="X208" s="260">
        <x:f t="shared" si="259"/>
        <x:v>-2687.3892102763175</x:v>
      </x:c>
      <x:c r="Y208" s="260">
        <x:f t="shared" si="260"/>
        <x:v>-4164.3255602967074</x:v>
      </x:c>
      <x:c r="Z208" s="260">
        <x:f t="shared" si="261"/>
        <x:v>1870.5883636584285</x:v>
      </x:c>
      <x:c r="AA208" s="260">
        <x:f t="shared" si="262"/>
        <x:v>-967.4848198249781</x:v>
      </x:c>
      <x:c r="AB208" s="260">
        <x:f t="shared" si="263"/>
        <x:v>-1319.1590566897437</x:v>
      </x:c>
      <x:c r="AC208" s="260">
        <x:f t="shared" si="264"/>
        <x:v>1518.9141267936634</x:v>
      </x:c>
      <x:c r="AD208" s="260"/>
      <x:c r="AE208" s="282">
        <x:f t="shared" si="39"/>
        <x:v>0</x:v>
      </x:c>
      <x:c r="AF208" s="282">
        <x:f t="shared" si="10"/>
        <x:v>1102.8586139373701</x:v>
      </x:c>
      <x:c r="AJ208" s="272">
        <x:f t="shared" si="306"/>
        <x:v>-374.11767273168573</x:v>
      </x:c>
      <x:c r="AK208" s="272">
        <x:f t="shared" si="307"/>
        <x:v>96.748481982497822</x:v>
      </x:c>
      <x:c r="AL208" s="272">
        <x:f t="shared" si="308"/>
        <x:v>-131.91590566897437</x:v>
      </x:c>
      <x:c r="AM208" s="272">
        <x:f t="shared" si="309"/>
        <x:v>303.78282535873268</x:v>
      </x:c>
      <x:c r="AN208" s="272">
        <x:f t="shared" si="310"/>
        <x:v>803.73146437002276</x:v>
      </x:c>
      <x:c r="AO208" s="272">
        <x:f t="shared" si="311"/>
        <x:v>283.30574487229114</x:v>
      </x:c>
      <x:c r="AP208" s="272">
        <x:f t="shared" si="312"/>
        <x:v>268.73892102763176</x:v>
      </x:c>
      <x:c r="AQ208" s="272">
        <x:f t="shared" si="313"/>
        <x:v>832.86511205934153</x:v>
      </x:c>
      <x:c r="AR208" s="272"/>
      <x:c r="AS208" s="286">
        <x:f t="shared" si="32"/>
        <x:v>-105.50227105942963</x:v>
      </x:c>
      <x:c r="AT208" s="286">
        <x:f t="shared" si="33"/>
        <x:v>2188.6412423292873</x:v>
      </x:c>
      <x:c r="AY208" s="279">
        <x:f t="shared" si="314"/>
        <x:v>175.37360026714333</x:v>
      </x:c>
      <x:c r="AZ208" s="279">
        <x:f t="shared" si="315"/>
        <x:v>-175.37360026714333</x:v>
      </x:c>
      <x:c r="BA208" s="279">
        <x:f t="shared" si="316"/>
        <x:v>-524.13644198049417</x:v>
      </x:c>
      <x:c r="BB208" s="279">
        <x:f t="shared" si="317"/>
        <x:v>-524.13644198049417</x:v>
      </x:c>
      <x:c r="BC208" s="279"/>
      <x:c r="BD208" s="289">
        <x:f t="shared" si="265"/>
        <x:v>0</x:v>
      </x:c>
      <x:c r="BE208" s="289">
        <x:f t="shared" si="266"/>
        <x:v>-1048.2728839609883</x:v>
      </x:c>
    </x:row>
    <x:row r="209" ht="15.75" customHeight="1">
      <x:c r="A209" s="21">
        <x:v>354</x:v>
      </x:c>
      <x:c r="B209" s="21">
        <x:f t="shared" si="19"/>
        <x:v>534</x:v>
      </x:c>
      <x:c r="C209" s="21">
        <x:f t="shared" si="0"/>
        <x:v>534</x:v>
      </x:c>
      <x:c r="D209" s="21">
        <x:f t="shared" si="20"/>
        <x:v>354</x:v>
      </x:c>
      <x:c r="E209" s="22" t="n">
        <x:f t="shared" ref="E209:H209" si="334">A209*PI()/180</x:f>
        <x:v>6.178465552059927</x:v>
      </x:c>
      <x:c r="F209" s="22">
        <x:f t="shared" si="334"/>
        <x:v>9.320058205649719</x:v>
      </x:c>
      <x:c r="G209" s="22">
        <x:f t="shared" si="334"/>
        <x:v>9.320058205649719</x:v>
      </x:c>
      <x:c r="H209" s="22">
        <x:f t="shared" si="334"/>
        <x:v>6.1784655520599268</x:v>
      </x:c>
      <x:c r="I209" s="23"/>
      <x:c r="J209" s="23"/>
      <x:c r="K209" s="23"/>
      <x:c r="L209" s="249">
        <x:f t="shared" si="298"/>
        <x:v>-142.94681186582773</x:v>
      </x:c>
      <x:c r="M209" s="249">
        <x:f t="shared" si="299"/>
        <x:v>142.94681186582912</x:v>
      </x:c>
      <x:c r="N209" s="249">
        <x:f t="shared" si="300"/>
        <x:v>142.94681186582912</x:v>
      </x:c>
      <x:c r="O209" s="249">
        <x:f t="shared" si="301"/>
        <x:v>-142.94681186582773</x:v>
      </x:c>
      <x:c r="P209" s="249">
        <x:f t="shared" si="302"/>
        <x:v>4457.1833329048332</x:v>
      </x:c>
      <x:c r="Q209" s="249">
        <x:f t="shared" si="303"/>
        <x:v>-2990.916738208457</x:v>
      </x:c>
      <x:c r="R209" s="249">
        <x:f t="shared" si="304"/>
        <x:v>-2990.916738208457</x:v>
      </x:c>
      <x:c r="S209" s="249">
        <x:f t="shared" si="305"/>
        <x:v>4457.1833329048332</x:v>
      </x:c>
      <x:c r="T209" s="23"/>
      <x:c r="U209" s="23"/>
      <x:c r="V209" s="260">
        <x:f t="shared" si="257"/>
        <x:v>4063.1970773107546</x:v>
      </x:c>
      <x:c r="W209" s="260">
        <x:f t="shared" si="258"/>
        <x:v>2817.950134486674</x:v>
      </x:c>
      <x:c r="X209" s="260">
        <x:f t="shared" si="259"/>
        <x:v>-2708.5433812657493</x:v>
      </x:c>
      <x:c r="Y209" s="260">
        <x:f t="shared" si="260"/>
        <x:v>-4172.6038305316779</x:v>
      </x:c>
      <x:c r="Z209" s="260">
        <x:f t="shared" si="261"/>
        <x:v>1837.7558502370723</x:v>
      </x:c>
      <x:c r="AA209" s="260">
        <x:f t="shared" si="262"/>
        <x:v>-1012.5086495752302</x:v>
      </x:c>
      <x:c r="AB209" s="260">
        <x:f t="shared" si="263"/>
        <x:v>-1276.6399170163922</x:v>
      </x:c>
      <x:c r="AC209" s="260">
        <x:f t="shared" si="264"/>
        <x:v>1573.6245827959126</x:v>
      </x:c>
      <x:c r="AD209" s="260"/>
      <x:c r="AE209" s="282">
        <x:f t="shared" si="39"/>
        <x:v>0</x:v>
      </x:c>
      <x:c r="AF209" s="282">
        <x:f t="shared" si="10"/>
        <x:v>1122.2318664413624</x:v>
      </x:c>
      <x:c r="AJ209" s="272">
        <x:f t="shared" si="306"/>
        <x:v>-367.55117004741447</x:v>
      </x:c>
      <x:c r="AK209" s="272">
        <x:f t="shared" si="307"/>
        <x:v>101.25086495752302</x:v>
      </x:c>
      <x:c r="AL209" s="272">
        <x:f t="shared" si="308"/>
        <x:v>-127.66399170163923</x:v>
      </x:c>
      <x:c r="AM209" s="272">
        <x:f t="shared" si="309"/>
        <x:v>314.72491655918253</x:v>
      </x:c>
      <x:c r="AN209" s="272">
        <x:f t="shared" si="310"/>
        <x:v>812.63941546215096</x:v>
      </x:c>
      <x:c r="AO209" s="272">
        <x:f t="shared" si="311"/>
        <x:v>281.79501344866742</x:v>
      </x:c>
      <x:c r="AP209" s="272">
        <x:f t="shared" si="312"/>
        <x:v>270.85433812657493</x:v>
      </x:c>
      <x:c r="AQ209" s="272">
        <x:f t="shared" si="313"/>
        <x:v>834.5207661063356</x:v>
      </x:c>
      <x:c r="AR209" s="272"/>
      <x:c r="AS209" s="286">
        <x:f t="shared" si="32"/>
        <x:v>-79.239380232348196</x:v>
      </x:c>
      <x:c r="AT209" s="286">
        <x:f t="shared" si="33"/>
        <x:v>2199.8095331437289</x:v>
      </x:c>
      <x:c r="AY209" s="279">
        <x:f t="shared" si="314"/>
        <x:v>138.38448903778769</x:v>
      </x:c>
      <x:c r="AZ209" s="279">
        <x:f t="shared" si="315"/>
        <x:v>-138.38448903778769</x:v>
      </x:c>
      <x:c r="BA209" s="279">
        <x:f t="shared" si="316"/>
        <x:v>-535.09311589328274</x:v>
      </x:c>
      <x:c r="BB209" s="279">
        <x:f t="shared" si="317"/>
        <x:v>-535.09311589328274</x:v>
      </x:c>
      <x:c r="BC209" s="279"/>
      <x:c r="BD209" s="289">
        <x:f t="shared" si="265"/>
        <x:v>0</x:v>
      </x:c>
      <x:c r="BE209" s="289">
        <x:f t="shared" si="266"/>
        <x:v>-1070.1862317865655</x:v>
      </x:c>
    </x:row>
    <x:row r="210" ht="15.75" customHeight="1">
      <x:c r="A210" s="21">
        <x:v>356</x:v>
      </x:c>
      <x:c r="B210" s="21">
        <x:f t="shared" si="19"/>
        <x:v>536</x:v>
      </x:c>
      <x:c r="C210" s="21">
        <x:f t="shared" si="0"/>
        <x:v>536</x:v>
      </x:c>
      <x:c r="D210" s="21">
        <x:f t="shared" si="20"/>
        <x:v>356</x:v>
      </x:c>
      <x:c r="E210" s="22" t="n">
        <x:f t="shared" ref="E210:H210" si="335">A210*PI()/180</x:f>
        <x:v>6.213372137099814</x:v>
      </x:c>
      <x:c r="F210" s="22">
        <x:f t="shared" si="335"/>
        <x:v>9.3549647906896052</x:v>
      </x:c>
      <x:c r="G210" s="22">
        <x:f t="shared" si="335"/>
        <x:v>9.3549647906896052</x:v>
      </x:c>
      <x:c r="H210" s="22">
        <x:f t="shared" si="335"/>
        <x:v>6.2133721370998138</x:v>
      </x:c>
      <x:c r="I210" s="23"/>
      <x:c r="J210" s="23"/>
      <x:c r="K210" s="23"/>
      <x:c r="L210" s="249">
        <x:f t="shared" si="298"/>
        <x:v>-95.394739547564441</x:v>
      </x:c>
      <x:c r="M210" s="249">
        <x:f t="shared" si="299"/>
        <x:v>95.394739547567013</x:v>
      </x:c>
      <x:c r="N210" s="249">
        <x:f t="shared" si="300"/>
        <x:v>95.394739547567013</x:v>
      </x:c>
      <x:c r="O210" s="249">
        <x:f t="shared" si="301"/>
        <x:v>-95.394739547564441</x:v>
      </x:c>
      <x:c r="P210" s="249">
        <x:f t="shared" si="302"/>
        <x:v>4477.6593093759466</x:v>
      </x:c>
      <x:c r="Q210" s="249">
        <x:f t="shared" si="303"/>
        <x:v>-2993.2238439094126</x:v>
      </x:c>
      <x:c r="R210" s="249">
        <x:f t="shared" si="304"/>
        <x:v>-2993.2238439094126</x:v>
      </x:c>
      <x:c r="S210" s="249">
        <x:f t="shared" si="305"/>
        <x:v>4477.6593093759466</x:v>
      </x:c>
      <x:c r="T210" s="23"/>
      <x:c r="U210" s="23"/>
      <x:c r="V210" s="260">
        <x:f t="shared" si="257"/>
        <x:v>4100.3118031314243</x:v>
      </x:c>
      <x:c r="W210" s="260">
        <x:f t="shared" si="258"/>
        <x:v>2801.8842319723012</x:v>
      </x:c>
      <x:c r="X210" s="260">
        <x:f t="shared" si="259"/>
        <x:v>-2728.872259253028</x:v>
      </x:c>
      <x:c r="Y210" s="260">
        <x:f t="shared" si="260"/>
        <x:v>-4173.3237758506966</x:v>
      </x:c>
      <x:c r="Z210" s="260">
        <x:f t="shared" si="261"/>
        <x:v>1801.6592808507246</x:v>
      </x:c>
      <x:c r="AA210" s="260">
        <x:f t="shared" si="262"/>
        <x:v>-1057.3239270470397</x:v>
      </x:c>
      <x:c r="AB210" s="260">
        <x:f t="shared" si="263"/>
        <x:v>-1233.5904218015241</x:v>
      </x:c>
      <x:c r="AC210" s="260">
        <x:f t="shared" si="264"/>
        <x:v>1625.3927860962451</x:v>
      </x:c>
      <x:c r="AD210" s="260"/>
      <x:c r="AE210" s="282">
        <x:f t="shared" si="39"/>
        <x:v>0</x:v>
      </x:c>
      <x:c r="AF210" s="282">
        <x:f t="shared" si="10"/>
        <x:v>1136.1377180984059</x:v>
      </x:c>
      <x:c r="AJ210" s="272">
        <x:f t="shared" si="306"/>
        <x:v>-360.33185617014493</x:v>
      </x:c>
      <x:c r="AK210" s="272">
        <x:f t="shared" si="307"/>
        <x:v>105.73239270470397</x:v>
      </x:c>
      <x:c r="AL210" s="272">
        <x:f t="shared" si="308"/>
        <x:v>-123.35904218015241</x:v>
      </x:c>
      <x:c r="AM210" s="272">
        <x:f t="shared" si="309"/>
        <x:v>325.07855721924903</x:v>
      </x:c>
      <x:c r="AN210" s="272">
        <x:f t="shared" si="310"/>
        <x:v>820.06236062628489</x:v>
      </x:c>
      <x:c r="AO210" s="272">
        <x:f t="shared" si="311"/>
        <x:v>280.18842319723012</x:v>
      </x:c>
      <x:c r="AP210" s="272">
        <x:f t="shared" si="312"/>
        <x:v>272.8872259253028</x:v>
      </x:c>
      <x:c r="AQ210" s="272">
        <x:f t="shared" si="313"/>
        <x:v>834.66475517013941</x:v>
      </x:c>
      <x:c r="AR210" s="272"/>
      <x:c r="AS210" s="286">
        <x:f t="shared" si="32"/>
        <x:v>-52.879948426344356</x:v>
      </x:c>
      <x:c r="AT210" s="286">
        <x:f t="shared" si="33"/>
        <x:v>2207.8027649189571</x:v>
      </x:c>
      <x:c r="AY210" s="279">
        <x:f t="shared" si="314"/>
        <x:v>100.72118248819925</x:v>
      </x:c>
      <x:c r="AZ210" s="279">
        <x:f t="shared" si="315"/>
        <x:v>-100.72118248819925</x:v>
      </x:c>
      <x:c r="BA210" s="279">
        <x:f t="shared" si="316"/>
        <x:v>-543.44286993281139</x:v>
      </x:c>
      <x:c r="BB210" s="279">
        <x:f t="shared" si="317"/>
        <x:v>-543.44286993281139</x:v>
      </x:c>
      <x:c r="BC210" s="279"/>
      <x:c r="BD210" s="289">
        <x:f t="shared" si="265"/>
        <x:v>0</x:v>
      </x:c>
      <x:c r="BE210" s="289">
        <x:f t="shared" si="266"/>
        <x:v>-1086.8857398656228</x:v>
      </x:c>
    </x:row>
    <x:row r="211" ht="15.75" customHeight="1">
      <x:c r="A211" s="21">
        <x:v>358</x:v>
      </x:c>
      <x:c r="B211" s="21">
        <x:f t="shared" si="19"/>
        <x:v>538</x:v>
      </x:c>
      <x:c r="C211" s="21">
        <x:f t="shared" si="0"/>
        <x:v>538</x:v>
      </x:c>
      <x:c r="D211" s="21">
        <x:f t="shared" si="20"/>
        <x:v>358</x:v>
      </x:c>
      <x:c r="E211" s="22" t="n">
        <x:f t="shared" ref="E211:H211" si="336">A211*PI()/180</x:f>
        <x:v>6.2482787221397</x:v>
      </x:c>
      <x:c r="F211" s="22">
        <x:f t="shared" si="336"/>
        <x:v>9.3898713757294932</x:v>
      </x:c>
      <x:c r="G211" s="22">
        <x:f t="shared" si="336"/>
        <x:v>9.3898713757294932</x:v>
      </x:c>
      <x:c r="H211" s="22">
        <x:f t="shared" si="336"/>
        <x:v>6.2482787221397</x:v>
      </x:c>
      <x:c r="I211" s="23"/>
      <x:c r="J211" s="23"/>
      <x:c r="K211" s="23"/>
      <x:c r="L211" s="249">
        <x:f t="shared" si="298"/>
        <x:v>-47.726443433596785</x:v>
      </x:c>
      <x:c r="M211" s="249">
        <x:f t="shared" si="299"/>
        <x:v>47.726443433596948</x:v>
      </x:c>
      <x:c r="N211" s="249">
        <x:f t="shared" si="300"/>
        <x:v>47.726443433596948</x:v>
      </x:c>
      <x:c r="O211" s="249">
        <x:f t="shared" si="301"/>
        <x:v>-47.726443433596785</x:v>
      </x:c>
      <x:c r="P211" s="249">
        <x:f t="shared" si="302"/>
        <x:v>4489.9682155001747</x:v>
      </x:c>
      <x:c r="Q211" s="249">
        <x:f t="shared" si="303"/>
        <x:v>-2994.5958996363061</x:v>
      </x:c>
      <x:c r="R211" s="249">
        <x:f t="shared" si="304"/>
        <x:v>-2994.5958996363061</x:v>
      </x:c>
      <x:c r="S211" s="249">
        <x:f t="shared" si="305"/>
        <x:v>4489.9682155001747</x:v>
      </x:c>
      <x:c r="T211" s="23"/>
      <x:c r="U211" s="23"/>
      <x:c r="V211" s="260">
        <x:f t="shared" si="257"/>
        <x:v>4129.9256167390904</x:v>
      </x:c>
      <x:c r="W211" s="260">
        <x:f t="shared" si="258"/>
        <x:v>2784.909979003954</x:v>
      </x:c>
      <x:c r="X211" s="260">
        <x:f t="shared" si="259"/>
        <x:v>-2748.3817406284593</x:v>
      </x:c>
      <x:c r="Y211" s="260">
        <x:f t="shared" si="260"/>
        <x:v>-4166.4538551145852</x:v>
      </x:c>
      <x:c r="Z211" s="260">
        <x:f t="shared" si="261"/>
        <x:v>1762.329932165622</x:v>
      </x:c>
      <x:c r="AA211" s="260">
        <x:f t="shared" si="262"/>
        <x:v>-1101.8887531713876</x:v>
      </x:c>
      <x:c r="AB211" s="260">
        <x:f t="shared" si="263"/>
        <x:v>-1190.0757216671036</x:v>
      </x:c>
      <x:c r="AC211" s="260">
        <x:f t="shared" si="264"/>
        <x:v>1674.1429636699065</x:v>
      </x:c>
      <x:c r="AD211" s="260"/>
      <x:c r="AE211" s="282">
        <x:f t="shared" si="39"/>
        <x:v>0</x:v>
      </x:c>
      <x:c r="AF211" s="282">
        <x:f t="shared" si="10"/>
        <x:v>1144.5084209970373</x:v>
      </x:c>
      <x:c r="AJ211" s="272">
        <x:f t="shared" si="306"/>
        <x:v>-352.46598643312444</x:v>
      </x:c>
      <x:c r="AK211" s="272">
        <x:f t="shared" si="307"/>
        <x:v>110.18887531713877</x:v>
      </x:c>
      <x:c r="AL211" s="272">
        <x:f t="shared" si="308"/>
        <x:v>-119.00757216671036</x:v>
      </x:c>
      <x:c r="AM211" s="272">
        <x:f t="shared" si="309"/>
        <x:v>334.82859273398134</x:v>
      </x:c>
      <x:c r="AN211" s="272">
        <x:f t="shared" si="310"/>
        <x:v>825.9851233478181</x:v>
      </x:c>
      <x:c r="AO211" s="272">
        <x:f t="shared" si="311"/>
        <x:v>278.49099790039543</x:v>
      </x:c>
      <x:c r="AP211" s="272">
        <x:f t="shared" si="312"/>
        <x:v>274.83817406284595</x:v>
      </x:c>
      <x:c r="AQ211" s="272">
        <x:f t="shared" si="313"/>
        <x:v>833.29077102291706</x:v>
      </x:c>
      <x:c r="AR211" s="272"/>
      <x:c r="AS211" s="286">
        <x:f t="shared" si="32"/>
        <x:v>-26.456090548714712</x:v>
      </x:c>
      <x:c r="AT211" s="286">
        <x:f t="shared" si="33"/>
        <x:v>2212.6050663339765</x:v>
      </x:c>
      <x:c r="AY211" s="279">
        <x:f t="shared" si="314"/>
        <x:v>62.567172461987099</x:v>
      </x:c>
      <x:c r="AZ211" s="279">
        <x:f t="shared" si="315"/>
        <x:v>-62.567172461987099</x:v>
      </x:c>
      <x:c r="BA211" s="279">
        <x:f t="shared" si="316"/>
        <x:v>-549.14502493671353</x:v>
      </x:c>
      <x:c r="BB211" s="279">
        <x:f t="shared" si="317"/>
        <x:v>-549.14502493671353</x:v>
      </x:c>
      <x:c r="BC211" s="279"/>
      <x:c r="BD211" s="289">
        <x:f t="shared" si="265"/>
        <x:v>0</x:v>
      </x:c>
      <x:c r="BE211" s="289">
        <x:f t="shared" si="266"/>
        <x:v>-1098.2900498734271</x:v>
      </x:c>
    </x:row>
    <x:row r="212" ht="15.75" customHeight="1">
      <x:c r="A212" s="21">
        <x:v>360</x:v>
      </x:c>
      <x:c r="B212" s="21">
        <x:f t="shared" si="19"/>
        <x:v>540</x:v>
      </x:c>
      <x:c r="C212" s="21">
        <x:f t="shared" si="0"/>
        <x:v>540</x:v>
      </x:c>
      <x:c r="D212" s="21">
        <x:f t="shared" si="20"/>
        <x:v>360</x:v>
      </x:c>
      <x:c r="E212" s="22" t="n">
        <x:f t="shared" ref="E212:H212" si="337">A212*PI()/180</x:f>
        <x:v>6.283185307179586</x:v>
      </x:c>
      <x:c r="F212" s="22">
        <x:f t="shared" si="337"/>
        <x:v>9.4247779607693793</x:v>
      </x:c>
      <x:c r="G212" s="22">
        <x:f t="shared" si="337"/>
        <x:v>9.4247779607693793</x:v>
      </x:c>
      <x:c r="H212" s="22">
        <x:f t="shared" si="337"/>
        <x:v>6.2831853071795862</x:v>
      </x:c>
      <x:c r="I212" s="23"/>
      <x:c r="J212" s="23"/>
      <x:c r="K212" s="23"/>
      <x:c r="L212" s="249">
        <x:f t="shared" si="298"/>
        <x:v>-3.3508780329639984E-13</x:v>
      </x:c>
      <x:c r="M212" s="249">
        <x:f t="shared" si="299"/>
        <x:v>5.0263170494459976E-13</x:v>
      </x:c>
      <x:c r="N212" s="249">
        <x:f t="shared" si="300"/>
        <x:v>5.0263170494459976E-13</x:v>
      </x:c>
      <x:c r="O212" s="249">
        <x:f t="shared" si="301"/>
        <x:v>-3.3508780329639984E-13</x:v>
      </x:c>
      <x:c r="P212" s="249">
        <x:f t="shared" si="302"/>
        <x:v>4494.0750755873205</x:v>
      </x:c>
      <x:c r="Q212" s="249">
        <x:f t="shared" si="303"/>
        <x:v>-2995.0512129347067</x:v>
      </x:c>
      <x:c r="R212" s="249">
        <x:f t="shared" si="304"/>
        <x:v>-2995.0512129347067</x:v>
      </x:c>
      <x:c r="S212" s="249">
        <x:f t="shared" si="305"/>
        <x:v>4494.0750755873205</x:v>
      </x:c>
      <x:c r="T212" s="23"/>
      <x:c r="U212" s="23"/>
      <x:c r="V212" s="260">
        <x:f t="shared" si="257"/>
        <x:v>4151.9839799042393</x:v>
      </x:c>
      <x:c r="W212" s="260">
        <x:f t="shared" si="258"/>
        <x:v>2767.0665144534792</x:v>
      </x:c>
      <x:c r="X212" s="260">
        <x:f t="shared" si="259"/>
        <x:v>-2767.0665144534792</x:v>
      </x:c>
      <x:c r="Y212" s="260">
        <x:f t="shared" si="260"/>
        <x:v>-4151.9839799042393</x:v>
      </x:c>
      <x:c r="Z212" s="260">
        <x:f t="shared" si="261"/>
        <x:v>1719.8080752321566</x:v>
      </x:c>
      <x:c r="AA212" s="260">
        <x:f t="shared" si="262"/>
        <x:v>-1146.1564782750786</x:v>
      </x:c>
      <x:c r="AB212" s="260">
        <x:f t="shared" si="263"/>
        <x:v>-1146.1564782750795</x:v>
      </x:c>
      <x:c r="AC212" s="260">
        <x:f t="shared" si="264"/>
        <x:v>1719.8080752321562</x:v>
      </x:c>
      <x:c r="AD212" s="260"/>
      <x:c r="AE212" s="282">
        <x:f t="shared" si="39"/>
        <x:v>0</x:v>
      </x:c>
      <x:c r="AF212" s="282">
        <x:f t="shared" si="10"/>
        <x:v>1147.3031939141547</x:v>
      </x:c>
      <x:c r="AJ212" s="272">
        <x:f t="shared" si="306"/>
        <x:v>-343.96161504643135</x:v>
      </x:c>
      <x:c r="AK212" s="272">
        <x:f t="shared" si="307"/>
        <x:v>114.61564782750787</x:v>
      </x:c>
      <x:c r="AL212" s="272">
        <x:f t="shared" si="308"/>
        <x:v>-114.61564782750796</x:v>
      </x:c>
      <x:c r="AM212" s="272">
        <x:f t="shared" si="309"/>
        <x:v>343.96161504643123</x:v>
      </x:c>
      <x:c r="AN212" s="272">
        <x:f t="shared" si="310"/>
        <x:v>830.39679598084786</x:v>
      </x:c>
      <x:c r="AO212" s="272">
        <x:f t="shared" si="311"/>
        <x:v>276.70665144534792</x:v>
      </x:c>
      <x:c r="AP212" s="272">
        <x:f t="shared" si="312"/>
        <x:v>276.70665144534792</x:v>
      </x:c>
      <x:c r="AQ212" s="272">
        <x:f t="shared" si="313"/>
        <x:v>830.39679598084786</x:v>
      </x:c>
      <x:c r="AR212" s="272"/>
      <x:c r="AS212" s="286">
        <x:f t="shared" si="32"/>
        <x:v>0</x:v>
      </x:c>
      <x:c r="AT212" s="286">
        <x:f t="shared" si="33"/>
        <x:v>2214.2068948523915</x:v>
      </x:c>
      <x:c r="AY212" s="279">
        <x:f t="shared" si="314"/>
        <x:v>24.10834146076936</x:v>
      </x:c>
      <x:c r="AZ212" s="279">
        <x:f t="shared" si="315"/>
        <x:v>-24.10834146076936</x:v>
      </x:c>
      <x:c r="BA212" s="279">
        <x:f t="shared" si="316"/>
        <x:v>-552.17180057898884</x:v>
      </x:c>
      <x:c r="BB212" s="279">
        <x:f t="shared" si="317"/>
        <x:v>-552.17180057898884</x:v>
      </x:c>
      <x:c r="BC212" s="279"/>
      <x:c r="BD212" s="289">
        <x:f t="shared" si="265"/>
        <x:v>0</x:v>
      </x:c>
      <x:c r="BE212" s="289">
        <x:f t="shared" si="266"/>
        <x:v>-1104.3436011579777</x:v>
      </x:c>
    </x:row>
    <x:row r="213" ht="15.75" customHeight="1">
      <x:c r="F213" s="14"/>
      <x:c r="H213" s="14"/>
    </x:row>
    <x:row r="214" ht="15.75" customHeight="1">
      <x:c r="F214" s="14"/>
      <x:c r="H214" s="14"/>
    </x:row>
    <x:row r="215" ht="15.75" customHeight="1">
      <x:c r="F215" s="14"/>
      <x:c r="H215" s="14"/>
    </x:row>
    <x:row r="216" ht="15.75" customHeight="1">
      <x:c r="F216" s="14"/>
      <x:c r="H216" s="14"/>
    </x:row>
    <x:row r="217" ht="15.75" customHeight="1">
      <x:c r="F217" s="14"/>
      <x:c r="H217" s="14"/>
    </x:row>
    <x:row r="218" ht="15.75" customHeight="1">
      <x:c r="F218" s="14"/>
      <x:c r="H218" s="14"/>
    </x:row>
    <x:row r="219" ht="15.75" customHeight="1">
      <x:c r="F219" s="14"/>
      <x:c r="H219" s="14"/>
    </x:row>
    <x:row r="220" ht="15.75" customHeight="1">
      <x:c r="F220" s="14"/>
      <x:c r="H220" s="14"/>
    </x:row>
    <x:row r="221" ht="15.75" customHeight="1">
      <x:c r="F221" s="14"/>
      <x:c r="H221" s="14"/>
    </x:row>
    <x:row r="222" ht="15.75" customHeight="1">
      <x:c r="F222" s="14"/>
      <x:c r="H222" s="14"/>
    </x:row>
    <x:row r="223" ht="15.75" customHeight="1">
      <x:c r="F223" s="14"/>
      <x:c r="H223" s="14"/>
    </x:row>
    <x:row r="224" ht="15.75" customHeight="1">
      <x:c r="F224" s="14"/>
      <x:c r="H224" s="14"/>
    </x:row>
    <x:row r="225" ht="15.75" customHeight="1">
      <x:c r="F225" s="14"/>
      <x:c r="H225" s="14"/>
    </x:row>
    <x:row r="226" ht="15.75" customHeight="1">
      <x:c r="F226" s="14"/>
      <x:c r="H226" s="14"/>
    </x:row>
    <x:row r="227" ht="15.75" customHeight="1">
      <x:c r="F227" s="14"/>
      <x:c r="H227" s="14"/>
    </x:row>
    <x:row r="228" ht="15.75" customHeight="1">
      <x:c r="F228" s="14"/>
      <x:c r="H228" s="14"/>
    </x:row>
    <x:row r="229" ht="15.75" customHeight="1">
      <x:c r="F229" s="14"/>
      <x:c r="H229" s="14"/>
    </x:row>
    <x:row r="230" ht="15.75" customHeight="1">
      <x:c r="F230" s="14"/>
      <x:c r="H230" s="14"/>
    </x:row>
    <x:row r="231" ht="15.75" customHeight="1">
      <x:c r="F231" s="14"/>
      <x:c r="H231" s="14"/>
    </x:row>
    <x:row r="232" ht="15.75" customHeight="1">
      <x:c r="F232" s="14"/>
      <x:c r="H232" s="14"/>
    </x:row>
    <x:row r="233" ht="15.75" customHeight="1">
      <x:c r="F233" s="14"/>
      <x:c r="H233" s="14"/>
    </x:row>
    <x:row r="234" ht="15.75" customHeight="1">
      <x:c r="F234" s="14"/>
      <x:c r="H234" s="14"/>
    </x:row>
    <x:row r="235" ht="15.75" customHeight="1">
      <x:c r="F235" s="14"/>
      <x:c r="H235" s="14"/>
    </x:row>
    <x:row r="236" ht="15.75" customHeight="1">
      <x:c r="F236" s="14"/>
      <x:c r="H236" s="14"/>
    </x:row>
    <x:row r="237" ht="15.75" customHeight="1">
      <x:c r="F237" s="14"/>
      <x:c r="H237" s="14"/>
    </x:row>
    <x:row r="238" ht="15.75" customHeight="1">
      <x:c r="F238" s="14"/>
      <x:c r="H238" s="14"/>
    </x:row>
    <x:row r="239" ht="15.75" customHeight="1">
      <x:c r="F239" s="14"/>
      <x:c r="H239" s="14"/>
    </x:row>
    <x:row r="240" ht="15.75" customHeight="1">
      <x:c r="F240" s="14"/>
      <x:c r="H240" s="14"/>
    </x:row>
    <x:row r="241" ht="15.75" customHeight="1">
      <x:c r="F241" s="14"/>
      <x:c r="H241" s="14"/>
    </x:row>
    <x:row r="242" ht="15.75" customHeight="1">
      <x:c r="F242" s="14"/>
      <x:c r="H242" s="14"/>
    </x:row>
    <x:row r="243" ht="15.75" customHeight="1">
      <x:c r="F243" s="14"/>
      <x:c r="H243" s="14"/>
    </x:row>
    <x:row r="244" ht="15.75" customHeight="1">
      <x:c r="F244" s="14"/>
      <x:c r="H244" s="14"/>
    </x:row>
    <x:row r="245" ht="15.75" customHeight="1">
      <x:c r="F245" s="14"/>
      <x:c r="H245" s="14"/>
    </x:row>
    <x:row r="246" ht="15.75" customHeight="1">
      <x:c r="F246" s="14"/>
      <x:c r="H246" s="14"/>
    </x:row>
    <x:row r="247" ht="15.75" customHeight="1">
      <x:c r="F247" s="14"/>
      <x:c r="H247" s="14"/>
    </x:row>
    <x:row r="248" ht="15.75" customHeight="1">
      <x:c r="F248" s="14"/>
      <x:c r="H248" s="14"/>
    </x:row>
    <x:row r="249" ht="15.75" customHeight="1">
      <x:c r="F249" s="14"/>
      <x:c r="H249" s="14"/>
    </x:row>
    <x:row r="250" ht="15.75" customHeight="1">
      <x:c r="F250" s="14"/>
      <x:c r="H250" s="14"/>
    </x:row>
    <x:row r="251" ht="15.75" customHeight="1">
      <x:c r="F251" s="14"/>
      <x:c r="H251" s="14"/>
    </x:row>
    <x:row r="252" ht="15.75" customHeight="1">
      <x:c r="F252" s="14"/>
      <x:c r="H252" s="14"/>
    </x:row>
    <x:row r="253" ht="15.75" customHeight="1">
      <x:c r="F253" s="14"/>
      <x:c r="H253" s="14"/>
    </x:row>
    <x:row r="254" ht="15.75" customHeight="1">
      <x:c r="F254" s="14"/>
      <x:c r="H254" s="14"/>
    </x:row>
    <x:row r="255" ht="15.75" customHeight="1">
      <x:c r="F255" s="14"/>
      <x:c r="H255" s="14"/>
    </x:row>
    <x:row r="256" ht="15.75" customHeight="1">
      <x:c r="F256" s="14"/>
      <x:c r="H256" s="14"/>
    </x:row>
    <x:row r="257" ht="15.75" customHeight="1">
      <x:c r="F257" s="14"/>
      <x:c r="H257" s="14"/>
    </x:row>
    <x:row r="258" ht="15.75" customHeight="1">
      <x:c r="F258" s="14"/>
      <x:c r="H258" s="14"/>
    </x:row>
    <x:row r="259" ht="15.75" customHeight="1">
      <x:c r="F259" s="14"/>
      <x:c r="H259" s="14"/>
    </x:row>
    <x:row r="260" ht="15.75" customHeight="1">
      <x:c r="F260" s="14"/>
      <x:c r="H260" s="14"/>
    </x:row>
    <x:row r="261" ht="15.75" customHeight="1">
      <x:c r="F261" s="14"/>
      <x:c r="H261" s="14"/>
    </x:row>
    <x:row r="262" ht="15.75" customHeight="1">
      <x:c r="F262" s="14"/>
      <x:c r="H262" s="14"/>
    </x:row>
    <x:row r="263" ht="15.75" customHeight="1">
      <x:c r="F263" s="14"/>
      <x:c r="H263" s="14"/>
    </x:row>
    <x:row r="264" ht="15.75" customHeight="1">
      <x:c r="F264" s="14"/>
      <x:c r="H264" s="14"/>
    </x:row>
    <x:row r="265" ht="15.75" customHeight="1">
      <x:c r="F265" s="14"/>
      <x:c r="H265" s="14"/>
    </x:row>
    <x:row r="266" ht="15.75" customHeight="1">
      <x:c r="F266" s="14"/>
      <x:c r="H266" s="14"/>
    </x:row>
    <x:row r="267" ht="15.75" customHeight="1">
      <x:c r="F267" s="14"/>
      <x:c r="H267" s="14"/>
    </x:row>
    <x:row r="268" ht="15.75" customHeight="1">
      <x:c r="F268" s="14"/>
      <x:c r="H268" s="14"/>
    </x:row>
    <x:row r="269" ht="15.75" customHeight="1">
      <x:c r="F269" s="14"/>
      <x:c r="H269" s="14"/>
    </x:row>
    <x:row r="270" ht="15.75" customHeight="1">
      <x:c r="F270" s="14"/>
      <x:c r="H270" s="14"/>
    </x:row>
    <x:row r="271" ht="15.75" customHeight="1">
      <x:c r="F271" s="14"/>
      <x:c r="H271" s="14"/>
    </x:row>
    <x:row r="272" ht="15.75" customHeight="1">
      <x:c r="F272" s="14"/>
      <x:c r="H272" s="14"/>
    </x:row>
    <x:row r="273" ht="15.75" customHeight="1">
      <x:c r="F273" s="14"/>
      <x:c r="H273" s="14"/>
    </x:row>
    <x:row r="274" ht="15.75" customHeight="1">
      <x:c r="F274" s="14"/>
      <x:c r="H274" s="14"/>
    </x:row>
    <x:row r="275" ht="15.75" customHeight="1">
      <x:c r="F275" s="14"/>
      <x:c r="H275" s="14"/>
    </x:row>
    <x:row r="276" ht="15.75" customHeight="1">
      <x:c r="F276" s="14"/>
      <x:c r="H276" s="14"/>
    </x:row>
    <x:row r="277" ht="15.75" customHeight="1">
      <x:c r="F277" s="14"/>
      <x:c r="H277" s="14"/>
    </x:row>
    <x:row r="278" ht="15.75" customHeight="1">
      <x:c r="F278" s="14"/>
      <x:c r="H278" s="14"/>
    </x:row>
    <x:row r="279" ht="15.75" customHeight="1">
      <x:c r="F279" s="14"/>
      <x:c r="H279" s="14"/>
    </x:row>
    <x:row r="280" ht="15.75" customHeight="1">
      <x:c r="F280" s="14"/>
      <x:c r="H280" s="14"/>
    </x:row>
    <x:row r="281" ht="15.75" customHeight="1">
      <x:c r="F281" s="14"/>
      <x:c r="H281" s="14"/>
    </x:row>
    <x:row r="282" ht="15.75" customHeight="1">
      <x:c r="F282" s="14"/>
      <x:c r="H282" s="14"/>
    </x:row>
    <x:row r="283" ht="15.75" customHeight="1">
      <x:c r="F283" s="14"/>
      <x:c r="H283" s="14"/>
    </x:row>
    <x:row r="284" ht="15.75" customHeight="1">
      <x:c r="F284" s="14"/>
      <x:c r="H284" s="14"/>
    </x:row>
    <x:row r="285" ht="15.75" customHeight="1">
      <x:c r="F285" s="14"/>
      <x:c r="H285" s="14"/>
    </x:row>
    <x:row r="286" ht="15.75" customHeight="1">
      <x:c r="F286" s="14"/>
      <x:c r="H286" s="14"/>
    </x:row>
    <x:row r="287" ht="15.75" customHeight="1">
      <x:c r="F287" s="14"/>
      <x:c r="H287" s="14"/>
    </x:row>
    <x:row r="288" ht="15.75" customHeight="1">
      <x:c r="F288" s="14"/>
      <x:c r="H288" s="14"/>
    </x:row>
    <x:row r="289" ht="15.75" customHeight="1">
      <x:c r="F289" s="14"/>
      <x:c r="H289" s="14"/>
    </x:row>
    <x:row r="290" ht="15.75" customHeight="1">
      <x:c r="F290" s="14"/>
      <x:c r="H290" s="14"/>
    </x:row>
    <x:row r="291" ht="15.75" customHeight="1">
      <x:c r="F291" s="14"/>
      <x:c r="H291" s="14"/>
    </x:row>
    <x:row r="292" ht="15.75" customHeight="1">
      <x:c r="F292" s="14"/>
      <x:c r="H292" s="14"/>
    </x:row>
    <x:row r="293" ht="15.75" customHeight="1">
      <x:c r="F293" s="14"/>
      <x:c r="H293" s="14"/>
    </x:row>
    <x:row r="294" ht="15.75" customHeight="1">
      <x:c r="F294" s="14"/>
      <x:c r="H294" s="14"/>
    </x:row>
    <x:row r="295" ht="15.75" customHeight="1">
      <x:c r="F295" s="14"/>
      <x:c r="H295" s="14"/>
    </x:row>
    <x:row r="296" ht="15.75" customHeight="1">
      <x:c r="F296" s="14"/>
      <x:c r="H296" s="14"/>
    </x:row>
    <x:row r="297" ht="15.75" customHeight="1">
      <x:c r="F297" s="14"/>
      <x:c r="H297" s="14"/>
    </x:row>
    <x:row r="298" ht="15.75" customHeight="1">
      <x:c r="F298" s="14"/>
      <x:c r="H298" s="14"/>
    </x:row>
    <x:row r="299" ht="15.75" customHeight="1">
      <x:c r="F299" s="14"/>
      <x:c r="H299" s="14"/>
    </x:row>
    <x:row r="300" ht="15.75" customHeight="1">
      <x:c r="F300" s="14"/>
      <x:c r="H300" s="14"/>
    </x:row>
    <x:row r="301" ht="15.75" customHeight="1">
      <x:c r="F301" s="14"/>
      <x:c r="H301" s="14"/>
    </x:row>
    <x:row r="302" ht="15.75" customHeight="1">
      <x:c r="F302" s="14"/>
      <x:c r="H302" s="14"/>
    </x:row>
    <x:row r="303" ht="15.75" customHeight="1">
      <x:c r="F303" s="14"/>
      <x:c r="H303" s="14"/>
    </x:row>
    <x:row r="304" ht="15.75" customHeight="1">
      <x:c r="F304" s="14"/>
      <x:c r="H304" s="14"/>
    </x:row>
    <x:row r="305" ht="15.75" customHeight="1">
      <x:c r="F305" s="14"/>
      <x:c r="H305" s="14"/>
    </x:row>
    <x:row r="306" ht="15.75" customHeight="1">
      <x:c r="F306" s="14"/>
      <x:c r="H306" s="14"/>
    </x:row>
    <x:row r="307" ht="15.75" customHeight="1">
      <x:c r="F307" s="14"/>
      <x:c r="H307" s="14"/>
    </x:row>
    <x:row r="308" ht="15.75" customHeight="1">
      <x:c r="F308" s="14"/>
      <x:c r="H308" s="14"/>
    </x:row>
    <x:row r="309" ht="15.75" customHeight="1">
      <x:c r="F309" s="14"/>
      <x:c r="H309" s="14"/>
    </x:row>
    <x:row r="310" ht="15.75" customHeight="1">
      <x:c r="F310" s="14"/>
      <x:c r="H310" s="14"/>
    </x:row>
    <x:row r="311" ht="15.75" customHeight="1">
      <x:c r="F311" s="14"/>
      <x:c r="H311" s="14"/>
    </x:row>
    <x:row r="312" ht="15.75" customHeight="1">
      <x:c r="F312" s="14"/>
      <x:c r="H312" s="14"/>
    </x:row>
    <x:row r="313" ht="15.75" customHeight="1">
      <x:c r="F313" s="14"/>
      <x:c r="H313" s="14"/>
    </x:row>
    <x:row r="314" ht="15.75" customHeight="1">
      <x:c r="F314" s="14"/>
      <x:c r="H314" s="14"/>
    </x:row>
    <x:row r="315" ht="15.75" customHeight="1">
      <x:c r="F315" s="14"/>
      <x:c r="H315" s="14"/>
    </x:row>
    <x:row r="316" ht="15.75" customHeight="1">
      <x:c r="F316" s="14"/>
      <x:c r="H316" s="14"/>
    </x:row>
    <x:row r="317" ht="15.75" customHeight="1">
      <x:c r="F317" s="14"/>
      <x:c r="H317" s="14"/>
    </x:row>
    <x:row r="318" ht="15.75" customHeight="1">
      <x:c r="F318" s="14"/>
      <x:c r="H318" s="14"/>
    </x:row>
    <x:row r="319" ht="15.75" customHeight="1">
      <x:c r="F319" s="14"/>
      <x:c r="H319" s="14"/>
    </x:row>
    <x:row r="320" ht="15.75" customHeight="1">
      <x:c r="F320" s="14"/>
      <x:c r="H320" s="14"/>
    </x:row>
    <x:row r="321" ht="15.75" customHeight="1">
      <x:c r="F321" s="14"/>
      <x:c r="H321" s="14"/>
    </x:row>
    <x:row r="322" ht="15.75" customHeight="1">
      <x:c r="F322" s="14"/>
      <x:c r="H322" s="14"/>
    </x:row>
    <x:row r="323" ht="15.75" customHeight="1">
      <x:c r="F323" s="14"/>
      <x:c r="H323" s="14"/>
    </x:row>
    <x:row r="324" ht="15.75" customHeight="1">
      <x:c r="F324" s="14"/>
      <x:c r="H324" s="14"/>
    </x:row>
    <x:row r="325" ht="15.75" customHeight="1">
      <x:c r="F325" s="14"/>
      <x:c r="H325" s="14"/>
    </x:row>
    <x:row r="326" ht="15.75" customHeight="1">
      <x:c r="F326" s="14"/>
      <x:c r="H326" s="14"/>
    </x:row>
    <x:row r="327" ht="15.75" customHeight="1">
      <x:c r="F327" s="14"/>
      <x:c r="H327" s="14"/>
    </x:row>
    <x:row r="328" ht="15.75" customHeight="1">
      <x:c r="F328" s="14"/>
      <x:c r="H328" s="14"/>
    </x:row>
    <x:row r="329" ht="15.75" customHeight="1">
      <x:c r="F329" s="14"/>
      <x:c r="H329" s="14"/>
    </x:row>
    <x:row r="330" ht="15.75" customHeight="1">
      <x:c r="F330" s="14"/>
      <x:c r="H330" s="14"/>
    </x:row>
    <x:row r="331" ht="15.75" customHeight="1">
      <x:c r="F331" s="14"/>
      <x:c r="H331" s="14"/>
    </x:row>
    <x:row r="332" ht="15.75" customHeight="1">
      <x:c r="F332" s="14"/>
      <x:c r="H332" s="14"/>
    </x:row>
    <x:row r="333" ht="15.75" customHeight="1">
      <x:c r="F333" s="14"/>
      <x:c r="H333" s="14"/>
    </x:row>
    <x:row r="334" ht="15.75" customHeight="1">
      <x:c r="F334" s="14"/>
      <x:c r="H334" s="14"/>
    </x:row>
    <x:row r="335" ht="15.75" customHeight="1">
      <x:c r="F335" s="14"/>
      <x:c r="H335" s="14"/>
    </x:row>
    <x:row r="336" ht="15.75" customHeight="1">
      <x:c r="F336" s="14"/>
      <x:c r="H336" s="14"/>
    </x:row>
    <x:row r="337" ht="15.75" customHeight="1">
      <x:c r="F337" s="14"/>
      <x:c r="H337" s="14"/>
    </x:row>
    <x:row r="338" ht="15.75" customHeight="1">
      <x:c r="F338" s="14"/>
      <x:c r="H338" s="14"/>
    </x:row>
    <x:row r="339" ht="15.75" customHeight="1">
      <x:c r="F339" s="14"/>
      <x:c r="H339" s="14"/>
    </x:row>
    <x:row r="340" ht="15.75" customHeight="1">
      <x:c r="F340" s="14"/>
      <x:c r="H340" s="14"/>
    </x:row>
    <x:row r="341" ht="15.75" customHeight="1">
      <x:c r="F341" s="14"/>
      <x:c r="H341" s="14"/>
    </x:row>
    <x:row r="342" ht="15.75" customHeight="1">
      <x:c r="F342" s="14"/>
      <x:c r="H342" s="14"/>
    </x:row>
    <x:row r="343" ht="15.75" customHeight="1">
      <x:c r="F343" s="14"/>
      <x:c r="H343" s="14"/>
    </x:row>
    <x:row r="344" ht="15.75" customHeight="1">
      <x:c r="F344" s="14"/>
      <x:c r="H344" s="14"/>
    </x:row>
    <x:row r="345" ht="15.75" customHeight="1">
      <x:c r="F345" s="14"/>
      <x:c r="H345" s="14"/>
    </x:row>
    <x:row r="346" ht="15.75" customHeight="1">
      <x:c r="F346" s="14"/>
      <x:c r="H346" s="14"/>
    </x:row>
    <x:row r="347" ht="15.75" customHeight="1">
      <x:c r="F347" s="14"/>
      <x:c r="H347" s="14"/>
    </x:row>
    <x:row r="348" ht="15.75" customHeight="1">
      <x:c r="F348" s="14"/>
      <x:c r="H348" s="14"/>
    </x:row>
    <x:row r="349" ht="15.75" customHeight="1">
      <x:c r="F349" s="14"/>
      <x:c r="H349" s="14"/>
    </x:row>
    <x:row r="350" ht="15.75" customHeight="1">
      <x:c r="F350" s="14"/>
      <x:c r="H350" s="14"/>
    </x:row>
    <x:row r="351" ht="15.75" customHeight="1">
      <x:c r="F351" s="14"/>
      <x:c r="H351" s="14"/>
    </x:row>
    <x:row r="352" ht="15.75" customHeight="1">
      <x:c r="F352" s="14"/>
      <x:c r="H352" s="14"/>
    </x:row>
    <x:row r="353" ht="15.75" customHeight="1">
      <x:c r="F353" s="14"/>
      <x:c r="H353" s="14"/>
    </x:row>
    <x:row r="354" ht="15.75" customHeight="1">
      <x:c r="F354" s="14"/>
      <x:c r="H354" s="14"/>
    </x:row>
    <x:row r="355" ht="15.75" customHeight="1">
      <x:c r="F355" s="14"/>
      <x:c r="H355" s="14"/>
    </x:row>
    <x:row r="356" ht="15.75" customHeight="1">
      <x:c r="F356" s="14"/>
      <x:c r="H356" s="14"/>
    </x:row>
    <x:row r="357" ht="15.75" customHeight="1">
      <x:c r="F357" s="14"/>
      <x:c r="H357" s="14"/>
    </x:row>
    <x:row r="358" ht="15.75" customHeight="1">
      <x:c r="F358" s="14"/>
      <x:c r="H358" s="14"/>
    </x:row>
    <x:row r="359" ht="15.75" customHeight="1">
      <x:c r="F359" s="14"/>
      <x:c r="H359" s="14"/>
    </x:row>
    <x:row r="360" ht="15.75" customHeight="1">
      <x:c r="F360" s="14"/>
      <x:c r="H360" s="14"/>
    </x:row>
    <x:row r="361" ht="15.75" customHeight="1">
      <x:c r="F361" s="14"/>
      <x:c r="H361" s="14"/>
    </x:row>
    <x:row r="362" ht="15.75" customHeight="1">
      <x:c r="F362" s="14"/>
      <x:c r="H362" s="14"/>
    </x:row>
    <x:row r="363" ht="15.75" customHeight="1">
      <x:c r="F363" s="14"/>
      <x:c r="H363" s="14"/>
    </x:row>
    <x:row r="364" ht="15.75" customHeight="1">
      <x:c r="F364" s="14"/>
      <x:c r="H364" s="14"/>
    </x:row>
    <x:row r="365" ht="15.75" customHeight="1">
      <x:c r="F365" s="14"/>
      <x:c r="H365" s="14"/>
    </x:row>
    <x:row r="366" ht="15.75" customHeight="1">
      <x:c r="F366" s="14"/>
      <x:c r="H366" s="14"/>
    </x:row>
    <x:row r="367" ht="15.75" customHeight="1">
      <x:c r="F367" s="14"/>
      <x:c r="H367" s="14"/>
    </x:row>
    <x:row r="368" ht="15.75" customHeight="1">
      <x:c r="F368" s="14"/>
      <x:c r="H368" s="14"/>
    </x:row>
    <x:row r="369" ht="15.75" customHeight="1">
      <x:c r="F369" s="14"/>
      <x:c r="H369" s="14"/>
    </x:row>
    <x:row r="370" ht="15.75" customHeight="1">
      <x:c r="F370" s="14"/>
      <x:c r="H370" s="14"/>
    </x:row>
    <x:row r="371" ht="15.75" customHeight="1">
      <x:c r="F371" s="14"/>
      <x:c r="H371" s="14"/>
    </x:row>
    <x:row r="372" ht="15.75" customHeight="1">
      <x:c r="F372" s="14"/>
      <x:c r="H372" s="14"/>
    </x:row>
    <x:row r="373" ht="15.75" customHeight="1">
      <x:c r="F373" s="14"/>
      <x:c r="H373" s="14"/>
    </x:row>
    <x:row r="374" ht="15.75" customHeight="1">
      <x:c r="F374" s="14"/>
      <x:c r="H374" s="14"/>
    </x:row>
    <x:row r="375" ht="15.75" customHeight="1">
      <x:c r="F375" s="14"/>
      <x:c r="H375" s="14"/>
    </x:row>
    <x:row r="376" ht="15.75" customHeight="1">
      <x:c r="F376" s="14"/>
      <x:c r="H376" s="14"/>
    </x:row>
    <x:row r="377" ht="15.75" customHeight="1">
      <x:c r="F377" s="14"/>
      <x:c r="H377" s="14"/>
    </x:row>
    <x:row r="378" ht="15.75" customHeight="1">
      <x:c r="F378" s="14"/>
      <x:c r="H378" s="14"/>
    </x:row>
    <x:row r="379" ht="15.75" customHeight="1">
      <x:c r="F379" s="14"/>
      <x:c r="H379" s="14"/>
    </x:row>
    <x:row r="380" ht="15.75" customHeight="1">
      <x:c r="F380" s="14"/>
      <x:c r="H380" s="14"/>
    </x:row>
    <x:row r="381" ht="15.75" customHeight="1">
      <x:c r="F381" s="14"/>
      <x:c r="H381" s="14"/>
    </x:row>
    <x:row r="382" ht="15.75" customHeight="1">
      <x:c r="F382" s="14"/>
      <x:c r="H382" s="14"/>
    </x:row>
    <x:row r="383" ht="15.75" customHeight="1">
      <x:c r="F383" s="14"/>
      <x:c r="H383" s="14"/>
    </x:row>
    <x:row r="384" ht="15.75" customHeight="1">
      <x:c r="F384" s="14"/>
      <x:c r="H384" s="14"/>
    </x:row>
    <x:row r="385" ht="15.75" customHeight="1">
      <x:c r="F385" s="14"/>
      <x:c r="H385" s="14"/>
    </x:row>
    <x:row r="386" ht="15.75" customHeight="1">
      <x:c r="F386" s="14"/>
      <x:c r="H386" s="14"/>
    </x:row>
    <x:row r="387" ht="15.75" customHeight="1">
      <x:c r="F387" s="14"/>
      <x:c r="H387" s="14"/>
    </x:row>
    <x:row r="388" ht="15.75" customHeight="1">
      <x:c r="F388" s="14"/>
      <x:c r="H388" s="14"/>
    </x:row>
    <x:row r="389" ht="15.75" customHeight="1">
      <x:c r="F389" s="14"/>
      <x:c r="H389" s="14"/>
    </x:row>
    <x:row r="390" ht="15.75" customHeight="1">
      <x:c r="F390" s="14"/>
      <x:c r="H390" s="14"/>
    </x:row>
    <x:row r="391" ht="15.75" customHeight="1">
      <x:c r="F391" s="14"/>
      <x:c r="H391" s="14"/>
    </x:row>
    <x:row r="392" ht="15.75" customHeight="1">
      <x:c r="F392" s="14"/>
      <x:c r="H392" s="14"/>
    </x:row>
    <x:row r="393" ht="15.75" customHeight="1">
      <x:c r="F393" s="14"/>
      <x:c r="H393" s="14"/>
    </x:row>
    <x:row r="394" ht="15.75" customHeight="1">
      <x:c r="F394" s="14"/>
      <x:c r="H394" s="14"/>
    </x:row>
    <x:row r="395" ht="15.75" customHeight="1">
      <x:c r="F395" s="14"/>
      <x:c r="H395" s="14"/>
    </x:row>
    <x:row r="396" ht="15.75" customHeight="1">
      <x:c r="F396" s="14"/>
      <x:c r="H396" s="14"/>
    </x:row>
    <x:row r="397" ht="15.75" customHeight="1">
      <x:c r="F397" s="14"/>
      <x:c r="H397" s="14"/>
    </x:row>
    <x:row r="398" ht="15.75" customHeight="1">
      <x:c r="F398" s="14"/>
      <x:c r="H398" s="14"/>
    </x:row>
    <x:row r="399" ht="15.75" customHeight="1">
      <x:c r="F399" s="14"/>
      <x:c r="H399" s="14"/>
    </x:row>
    <x:row r="400" ht="15.75" customHeight="1">
      <x:c r="F400" s="14"/>
      <x:c r="H400" s="14"/>
    </x:row>
    <x:row r="401" ht="15.75" customHeight="1">
      <x:c r="F401" s="14"/>
      <x:c r="H401" s="14"/>
    </x:row>
    <x:row r="402" ht="15.75" customHeight="1">
      <x:c r="F402" s="14"/>
      <x:c r="H402" s="14"/>
    </x:row>
    <x:row r="403" ht="15.75" customHeight="1">
      <x:c r="F403" s="14"/>
      <x:c r="H403" s="14"/>
    </x:row>
    <x:row r="404" ht="15.75" customHeight="1">
      <x:c r="F404" s="14"/>
      <x:c r="H404" s="14"/>
    </x:row>
    <x:row r="405" ht="15.75" customHeight="1">
      <x:c r="F405" s="14"/>
      <x:c r="H405" s="14"/>
    </x:row>
    <x:row r="406" ht="15.75" customHeight="1">
      <x:c r="F406" s="14"/>
      <x:c r="H406" s="14"/>
    </x:row>
    <x:row r="407" ht="15.75" customHeight="1">
      <x:c r="F407" s="14"/>
      <x:c r="H407" s="14"/>
    </x:row>
    <x:row r="408" ht="15.75" customHeight="1">
      <x:c r="F408" s="14"/>
      <x:c r="H408" s="14"/>
    </x:row>
    <x:row r="409" ht="15.75" customHeight="1">
      <x:c r="F409" s="14"/>
      <x:c r="H409" s="14"/>
    </x:row>
    <x:row r="410" ht="15.75" customHeight="1">
      <x:c r="F410" s="14"/>
      <x:c r="H410" s="14"/>
    </x:row>
    <x:row r="411" ht="15.75" customHeight="1">
      <x:c r="F411" s="14"/>
      <x:c r="H411" s="14"/>
    </x:row>
    <x:row r="412" ht="15.75" customHeight="1">
      <x:c r="F412" s="14"/>
      <x:c r="H412" s="14"/>
    </x:row>
    <x:row r="413" ht="15.75" customHeight="1">
      <x:c r="F413" s="14"/>
      <x:c r="H413" s="14"/>
    </x:row>
    <x:row r="414" ht="15.75" customHeight="1">
      <x:c r="F414" s="14"/>
      <x:c r="H414" s="14"/>
    </x:row>
    <x:row r="415" ht="15.75" customHeight="1">
      <x:c r="F415" s="14"/>
      <x:c r="H415" s="14"/>
    </x:row>
    <x:row r="416" ht="15.75" customHeight="1">
      <x:c r="F416" s="14"/>
      <x:c r="H416" s="14"/>
    </x:row>
    <x:row r="417" ht="15.75" customHeight="1">
      <x:c r="F417" s="14"/>
      <x:c r="H417" s="14"/>
    </x:row>
    <x:row r="418" ht="15.75" customHeight="1">
      <x:c r="F418" s="14"/>
      <x:c r="H418" s="14"/>
    </x:row>
    <x:row r="419" ht="15.75" customHeight="1">
      <x:c r="F419" s="14"/>
      <x:c r="H419" s="14"/>
    </x:row>
    <x:row r="420" ht="15.75" customHeight="1">
      <x:c r="F420" s="14"/>
      <x:c r="H420" s="14"/>
    </x:row>
    <x:row r="421" ht="15.75" customHeight="1">
      <x:c r="F421" s="14"/>
      <x:c r="H421" s="14"/>
    </x:row>
    <x:row r="422" ht="15.75" customHeight="1">
      <x:c r="F422" s="14"/>
      <x:c r="H422" s="14"/>
    </x:row>
    <x:row r="423" ht="15.75" customHeight="1">
      <x:c r="F423" s="14"/>
      <x:c r="H423" s="14"/>
    </x:row>
    <x:row r="424" ht="15.75" customHeight="1">
      <x:c r="F424" s="14"/>
      <x:c r="H424" s="14"/>
    </x:row>
    <x:row r="425" ht="15.75" customHeight="1">
      <x:c r="F425" s="14"/>
      <x:c r="H425" s="14"/>
    </x:row>
    <x:row r="426" ht="15.75" customHeight="1">
      <x:c r="F426" s="14"/>
      <x:c r="H426" s="14"/>
    </x:row>
    <x:row r="427" ht="15.75" customHeight="1">
      <x:c r="F427" s="14"/>
      <x:c r="H427" s="14"/>
    </x:row>
    <x:row r="428" ht="15.75" customHeight="1">
      <x:c r="F428" s="14"/>
      <x:c r="H428" s="14"/>
    </x:row>
    <x:row r="429" ht="15.75" customHeight="1">
      <x:c r="F429" s="14"/>
      <x:c r="H429" s="14"/>
    </x:row>
    <x:row r="430" ht="15.75" customHeight="1">
      <x:c r="F430" s="14"/>
      <x:c r="H430" s="14"/>
    </x:row>
    <x:row r="431" ht="15.75" customHeight="1">
      <x:c r="F431" s="14"/>
      <x:c r="H431" s="14"/>
    </x:row>
    <x:row r="432" ht="15.75" customHeight="1">
      <x:c r="F432" s="14"/>
      <x:c r="H432" s="14"/>
    </x:row>
    <x:row r="433" ht="15.75" customHeight="1">
      <x:c r="F433" s="14"/>
      <x:c r="H433" s="14"/>
    </x:row>
    <x:row r="434" ht="15.75" customHeight="1">
      <x:c r="F434" s="14"/>
      <x:c r="H434" s="14"/>
    </x:row>
    <x:row r="435" ht="15.75" customHeight="1">
      <x:c r="F435" s="14"/>
      <x:c r="H435" s="14"/>
    </x:row>
    <x:row r="436" ht="15.75" customHeight="1">
      <x:c r="F436" s="14"/>
      <x:c r="H436" s="14"/>
    </x:row>
    <x:row r="437" ht="15.75" customHeight="1">
      <x:c r="F437" s="14"/>
      <x:c r="H437" s="14"/>
    </x:row>
    <x:row r="438" ht="15.75" customHeight="1">
      <x:c r="F438" s="14"/>
      <x:c r="H438" s="14"/>
    </x:row>
    <x:row r="439" ht="15.75" customHeight="1">
      <x:c r="F439" s="14"/>
      <x:c r="H439" s="14"/>
    </x:row>
    <x:row r="440" ht="15.75" customHeight="1">
      <x:c r="F440" s="14"/>
      <x:c r="H440" s="14"/>
    </x:row>
    <x:row r="441" ht="15.75" customHeight="1">
      <x:c r="F441" s="14"/>
      <x:c r="H441" s="14"/>
    </x:row>
    <x:row r="442" ht="15.75" customHeight="1">
      <x:c r="F442" s="14"/>
      <x:c r="H442" s="14"/>
    </x:row>
    <x:row r="443" ht="15.75" customHeight="1">
      <x:c r="F443" s="14"/>
      <x:c r="H443" s="14"/>
    </x:row>
    <x:row r="444" ht="15.75" customHeight="1">
      <x:c r="F444" s="14"/>
      <x:c r="H444" s="14"/>
    </x:row>
    <x:row r="445" ht="15.75" customHeight="1">
      <x:c r="F445" s="14"/>
      <x:c r="H445" s="14"/>
    </x:row>
    <x:row r="446" ht="15.75" customHeight="1">
      <x:c r="F446" s="14"/>
      <x:c r="H446" s="14"/>
    </x:row>
    <x:row r="447" ht="15.75" customHeight="1">
      <x:c r="F447" s="14"/>
      <x:c r="H447" s="14"/>
    </x:row>
    <x:row r="448" ht="15.75" customHeight="1">
      <x:c r="F448" s="14"/>
      <x:c r="H448" s="14"/>
    </x:row>
    <x:row r="449" ht="15.75" customHeight="1">
      <x:c r="F449" s="14"/>
      <x:c r="H449" s="14"/>
    </x:row>
    <x:row r="450" ht="15.75" customHeight="1">
      <x:c r="F450" s="14"/>
      <x:c r="H450" s="14"/>
    </x:row>
    <x:row r="451" ht="15.75" customHeight="1">
      <x:c r="F451" s="14"/>
      <x:c r="H451" s="14"/>
    </x:row>
    <x:row r="452" ht="15.75" customHeight="1">
      <x:c r="F452" s="14"/>
      <x:c r="H452" s="14"/>
    </x:row>
    <x:row r="453" ht="15.75" customHeight="1">
      <x:c r="F453" s="14"/>
      <x:c r="H453" s="14"/>
    </x:row>
    <x:row r="454" ht="15.75" customHeight="1">
      <x:c r="F454" s="14"/>
      <x:c r="H454" s="14"/>
    </x:row>
    <x:row r="455" ht="15.75" customHeight="1">
      <x:c r="F455" s="14"/>
      <x:c r="H455" s="14"/>
    </x:row>
    <x:row r="456" ht="15.75" customHeight="1">
      <x:c r="F456" s="14"/>
      <x:c r="H456" s="14"/>
    </x:row>
    <x:row r="457" ht="15.75" customHeight="1">
      <x:c r="F457" s="14"/>
      <x:c r="H457" s="14"/>
    </x:row>
    <x:row r="458" ht="15.75" customHeight="1">
      <x:c r="F458" s="14"/>
      <x:c r="H458" s="14"/>
    </x:row>
    <x:row r="459" ht="15.75" customHeight="1">
      <x:c r="F459" s="14"/>
      <x:c r="H459" s="14"/>
    </x:row>
    <x:row r="460" ht="15.75" customHeight="1">
      <x:c r="F460" s="14"/>
      <x:c r="H460" s="14"/>
    </x:row>
    <x:row r="461" ht="15.75" customHeight="1">
      <x:c r="F461" s="14"/>
      <x:c r="H461" s="14"/>
    </x:row>
    <x:row r="462" ht="15.75" customHeight="1">
      <x:c r="F462" s="14"/>
      <x:c r="H462" s="14"/>
    </x:row>
    <x:row r="463" ht="15.75" customHeight="1">
      <x:c r="F463" s="14"/>
      <x:c r="H463" s="14"/>
    </x:row>
    <x:row r="464" ht="15.75" customHeight="1">
      <x:c r="F464" s="14"/>
      <x:c r="H464" s="14"/>
    </x:row>
    <x:row r="465" ht="15.75" customHeight="1">
      <x:c r="F465" s="14"/>
      <x:c r="H465" s="14"/>
    </x:row>
    <x:row r="466" ht="15.75" customHeight="1">
      <x:c r="F466" s="14"/>
      <x:c r="H466" s="14"/>
    </x:row>
    <x:row r="467" ht="15.75" customHeight="1">
      <x:c r="F467" s="14"/>
      <x:c r="H467" s="14"/>
    </x:row>
    <x:row r="468" ht="15.75" customHeight="1">
      <x:c r="F468" s="14"/>
      <x:c r="H468" s="14"/>
    </x:row>
    <x:row r="469" ht="15.75" customHeight="1">
      <x:c r="F469" s="14"/>
      <x:c r="H469" s="14"/>
    </x:row>
    <x:row r="470" ht="15.75" customHeight="1">
      <x:c r="F470" s="14"/>
      <x:c r="H470" s="14"/>
    </x:row>
    <x:row r="471" ht="15.75" customHeight="1">
      <x:c r="F471" s="14"/>
      <x:c r="H471" s="14"/>
    </x:row>
    <x:row r="472" ht="15.75" customHeight="1">
      <x:c r="F472" s="14"/>
      <x:c r="H472" s="14"/>
    </x:row>
    <x:row r="473" ht="15.75" customHeight="1">
      <x:c r="F473" s="14"/>
      <x:c r="H473" s="14"/>
    </x:row>
    <x:row r="474" ht="15.75" customHeight="1">
      <x:c r="F474" s="14"/>
      <x:c r="H474" s="14"/>
    </x:row>
    <x:row r="475" ht="15.75" customHeight="1">
      <x:c r="F475" s="14"/>
      <x:c r="H475" s="14"/>
    </x:row>
    <x:row r="476" ht="15.75" customHeight="1">
      <x:c r="F476" s="14"/>
      <x:c r="H476" s="14"/>
    </x:row>
    <x:row r="477" ht="15.75" customHeight="1">
      <x:c r="F477" s="14"/>
      <x:c r="H477" s="14"/>
    </x:row>
    <x:row r="478" ht="15.75" customHeight="1">
      <x:c r="F478" s="14"/>
      <x:c r="H478" s="14"/>
    </x:row>
    <x:row r="479" ht="15.75" customHeight="1">
      <x:c r="F479" s="14"/>
      <x:c r="H479" s="14"/>
    </x:row>
    <x:row r="480" ht="15.75" customHeight="1">
      <x:c r="F480" s="14"/>
      <x:c r="H480" s="14"/>
    </x:row>
    <x:row r="481" ht="15.75" customHeight="1">
      <x:c r="F481" s="14"/>
      <x:c r="H481" s="14"/>
    </x:row>
    <x:row r="482" ht="15.75" customHeight="1">
      <x:c r="F482" s="14"/>
      <x:c r="H482" s="14"/>
    </x:row>
    <x:row r="483" ht="15.75" customHeight="1">
      <x:c r="F483" s="14"/>
      <x:c r="H483" s="14"/>
    </x:row>
    <x:row r="484" ht="15.75" customHeight="1">
      <x:c r="F484" s="14"/>
      <x:c r="H484" s="14"/>
    </x:row>
    <x:row r="485" ht="15.75" customHeight="1">
      <x:c r="F485" s="14"/>
      <x:c r="H485" s="14"/>
    </x:row>
    <x:row r="486" ht="15.75" customHeight="1">
      <x:c r="F486" s="14"/>
      <x:c r="H486" s="14"/>
    </x:row>
    <x:row r="487" ht="15.75" customHeight="1">
      <x:c r="F487" s="14"/>
      <x:c r="H487" s="14"/>
    </x:row>
    <x:row r="488" ht="15.75" customHeight="1">
      <x:c r="F488" s="14"/>
      <x:c r="H488" s="14"/>
    </x:row>
    <x:row r="489" ht="15.75" customHeight="1">
      <x:c r="F489" s="14"/>
      <x:c r="H489" s="14"/>
    </x:row>
    <x:row r="490" ht="15.75" customHeight="1">
      <x:c r="F490" s="14"/>
      <x:c r="H490" s="14"/>
    </x:row>
    <x:row r="491" ht="15.75" customHeight="1">
      <x:c r="F491" s="14"/>
      <x:c r="H491" s="14"/>
    </x:row>
    <x:row r="492" ht="15.75" customHeight="1">
      <x:c r="F492" s="14"/>
      <x:c r="H492" s="14"/>
    </x:row>
    <x:row r="493" ht="15.75" customHeight="1">
      <x:c r="F493" s="14"/>
      <x:c r="H493" s="14"/>
    </x:row>
    <x:row r="494" ht="15.75" customHeight="1">
      <x:c r="F494" s="14"/>
      <x:c r="H494" s="14"/>
    </x:row>
    <x:row r="495" ht="15.75" customHeight="1">
      <x:c r="F495" s="14"/>
      <x:c r="H495" s="14"/>
    </x:row>
    <x:row r="496" ht="15.75" customHeight="1">
      <x:c r="F496" s="14"/>
      <x:c r="H496" s="14"/>
    </x:row>
    <x:row r="497" ht="15.75" customHeight="1">
      <x:c r="F497" s="14"/>
      <x:c r="H497" s="14"/>
    </x:row>
    <x:row r="498" ht="15.75" customHeight="1">
      <x:c r="F498" s="14"/>
      <x:c r="H498" s="14"/>
    </x:row>
    <x:row r="499" ht="15.75" customHeight="1">
      <x:c r="F499" s="14"/>
      <x:c r="H499" s="14"/>
    </x:row>
    <x:row r="500" ht="15.75" customHeight="1">
      <x:c r="F500" s="14"/>
      <x:c r="H500" s="14"/>
    </x:row>
    <x:row r="501" ht="15.75" customHeight="1">
      <x:c r="F501" s="14"/>
      <x:c r="H501" s="14"/>
    </x:row>
    <x:row r="502" ht="15.75" customHeight="1">
      <x:c r="F502" s="14"/>
      <x:c r="H502" s="14"/>
    </x:row>
    <x:row r="503" ht="15.75" customHeight="1">
      <x:c r="F503" s="14"/>
      <x:c r="H503" s="14"/>
    </x:row>
    <x:row r="504" ht="15.75" customHeight="1">
      <x:c r="F504" s="14"/>
      <x:c r="H504" s="14"/>
    </x:row>
    <x:row r="505" ht="15.75" customHeight="1">
      <x:c r="F505" s="14"/>
      <x:c r="H505" s="14"/>
    </x:row>
    <x:row r="506" ht="15.75" customHeight="1">
      <x:c r="F506" s="14"/>
      <x:c r="H506" s="14"/>
    </x:row>
    <x:row r="507" ht="15.75" customHeight="1">
      <x:c r="F507" s="14"/>
      <x:c r="H507" s="14"/>
    </x:row>
    <x:row r="508" ht="15.75" customHeight="1">
      <x:c r="F508" s="14"/>
      <x:c r="H508" s="14"/>
    </x:row>
    <x:row r="509" ht="15.75" customHeight="1">
      <x:c r="F509" s="14"/>
      <x:c r="H509" s="14"/>
    </x:row>
    <x:row r="510" ht="15.75" customHeight="1">
      <x:c r="F510" s="14"/>
      <x:c r="H510" s="14"/>
    </x:row>
    <x:row r="511" ht="15.75" customHeight="1">
      <x:c r="F511" s="14"/>
      <x:c r="H511" s="14"/>
    </x:row>
    <x:row r="512" ht="15.75" customHeight="1">
      <x:c r="F512" s="14"/>
      <x:c r="H512" s="14"/>
    </x:row>
    <x:row r="513" ht="15.75" customHeight="1">
      <x:c r="F513" s="14"/>
      <x:c r="H513" s="14"/>
    </x:row>
    <x:row r="514" ht="15.75" customHeight="1">
      <x:c r="F514" s="14"/>
      <x:c r="H514" s="14"/>
    </x:row>
    <x:row r="515" ht="15.75" customHeight="1">
      <x:c r="F515" s="14"/>
      <x:c r="H515" s="14"/>
    </x:row>
    <x:row r="516" ht="15.75" customHeight="1">
      <x:c r="F516" s="14"/>
      <x:c r="H516" s="14"/>
    </x:row>
    <x:row r="517" ht="15.75" customHeight="1">
      <x:c r="F517" s="14"/>
      <x:c r="H517" s="14"/>
    </x:row>
    <x:row r="518" ht="15.75" customHeight="1">
      <x:c r="F518" s="14"/>
      <x:c r="H518" s="14"/>
    </x:row>
    <x:row r="519" ht="15.75" customHeight="1">
      <x:c r="F519" s="14"/>
      <x:c r="H519" s="14"/>
    </x:row>
    <x:row r="520" ht="15.75" customHeight="1">
      <x:c r="F520" s="14"/>
      <x:c r="H520" s="14"/>
    </x:row>
    <x:row r="521" ht="15.75" customHeight="1">
      <x:c r="F521" s="14"/>
      <x:c r="H521" s="14"/>
    </x:row>
    <x:row r="522" ht="15.75" customHeight="1">
      <x:c r="F522" s="14"/>
      <x:c r="H522" s="14"/>
    </x:row>
    <x:row r="523" ht="15.75" customHeight="1">
      <x:c r="F523" s="14"/>
      <x:c r="H523" s="14"/>
    </x:row>
    <x:row r="524" ht="15.75" customHeight="1">
      <x:c r="F524" s="14"/>
      <x:c r="H524" s="14"/>
    </x:row>
    <x:row r="525" ht="15.75" customHeight="1">
      <x:c r="F525" s="14"/>
      <x:c r="H525" s="14"/>
    </x:row>
    <x:row r="526" ht="15.75" customHeight="1">
      <x:c r="F526" s="14"/>
      <x:c r="H526" s="14"/>
    </x:row>
    <x:row r="527" ht="15.75" customHeight="1">
      <x:c r="F527" s="14"/>
      <x:c r="H527" s="14"/>
    </x:row>
    <x:row r="528" ht="15.75" customHeight="1">
      <x:c r="F528" s="14"/>
      <x:c r="H528" s="14"/>
    </x:row>
    <x:row r="529" ht="15.75" customHeight="1">
      <x:c r="F529" s="14"/>
      <x:c r="H529" s="14"/>
    </x:row>
    <x:row r="530" ht="15.75" customHeight="1">
      <x:c r="F530" s="14"/>
      <x:c r="H530" s="14"/>
    </x:row>
    <x:row r="531" ht="15.75" customHeight="1">
      <x:c r="F531" s="14"/>
      <x:c r="H531" s="14"/>
    </x:row>
    <x:row r="532" ht="15.75" customHeight="1">
      <x:c r="F532" s="14"/>
      <x:c r="H532" s="14"/>
    </x:row>
    <x:row r="533" ht="15.75" customHeight="1">
      <x:c r="F533" s="14"/>
      <x:c r="H533" s="14"/>
    </x:row>
    <x:row r="534" ht="15.75" customHeight="1">
      <x:c r="F534" s="14"/>
      <x:c r="H534" s="14"/>
    </x:row>
    <x:row r="535" ht="15.75" customHeight="1">
      <x:c r="F535" s="14"/>
      <x:c r="H535" s="14"/>
    </x:row>
    <x:row r="536" ht="15.75" customHeight="1">
      <x:c r="F536" s="14"/>
      <x:c r="H536" s="14"/>
    </x:row>
    <x:row r="537" ht="15.75" customHeight="1">
      <x:c r="F537" s="14"/>
      <x:c r="H537" s="14"/>
    </x:row>
    <x:row r="538" ht="15.75" customHeight="1">
      <x:c r="F538" s="14"/>
      <x:c r="H538" s="14"/>
    </x:row>
    <x:row r="539" ht="15.75" customHeight="1">
      <x:c r="F539" s="14"/>
      <x:c r="H539" s="14"/>
    </x:row>
    <x:row r="540" ht="15.75" customHeight="1">
      <x:c r="F540" s="14"/>
      <x:c r="H540" s="14"/>
    </x:row>
    <x:row r="541" ht="15.75" customHeight="1">
      <x:c r="F541" s="14"/>
      <x:c r="H541" s="14"/>
    </x:row>
    <x:row r="542" ht="15.75" customHeight="1">
      <x:c r="F542" s="14"/>
      <x:c r="H542" s="14"/>
    </x:row>
    <x:row r="543" ht="15.75" customHeight="1">
      <x:c r="F543" s="14"/>
      <x:c r="H543" s="14"/>
    </x:row>
    <x:row r="544" ht="15.75" customHeight="1">
      <x:c r="F544" s="14"/>
      <x:c r="H544" s="14"/>
    </x:row>
    <x:row r="545" ht="15.75" customHeight="1">
      <x:c r="F545" s="14"/>
      <x:c r="H545" s="14"/>
    </x:row>
    <x:row r="546" ht="15.75" customHeight="1">
      <x:c r="F546" s="14"/>
      <x:c r="H546" s="14"/>
    </x:row>
    <x:row r="547" ht="15.75" customHeight="1">
      <x:c r="F547" s="14"/>
      <x:c r="H547" s="14"/>
    </x:row>
    <x:row r="548" ht="15.75" customHeight="1">
      <x:c r="F548" s="14"/>
      <x:c r="H548" s="14"/>
    </x:row>
    <x:row r="549" ht="15.75" customHeight="1">
      <x:c r="F549" s="14"/>
      <x:c r="H549" s="14"/>
    </x:row>
    <x:row r="550" ht="15.75" customHeight="1">
      <x:c r="F550" s="14"/>
      <x:c r="H550" s="14"/>
    </x:row>
    <x:row r="551" ht="15.75" customHeight="1">
      <x:c r="F551" s="14"/>
      <x:c r="H551" s="14"/>
    </x:row>
    <x:row r="552" ht="15.75" customHeight="1">
      <x:c r="F552" s="14"/>
      <x:c r="H552" s="14"/>
    </x:row>
    <x:row r="553" ht="15.75" customHeight="1">
      <x:c r="F553" s="14"/>
      <x:c r="H553" s="14"/>
    </x:row>
    <x:row r="554" ht="15.75" customHeight="1">
      <x:c r="F554" s="14"/>
      <x:c r="H554" s="14"/>
    </x:row>
    <x:row r="555" ht="15.75" customHeight="1">
      <x:c r="F555" s="14"/>
      <x:c r="H555" s="14"/>
    </x:row>
    <x:row r="556" ht="15.75" customHeight="1">
      <x:c r="F556" s="14"/>
      <x:c r="H556" s="14"/>
    </x:row>
    <x:row r="557" ht="15.75" customHeight="1">
      <x:c r="F557" s="14"/>
      <x:c r="H557" s="14"/>
    </x:row>
    <x:row r="558" ht="15.75" customHeight="1">
      <x:c r="F558" s="14"/>
      <x:c r="H558" s="14"/>
    </x:row>
    <x:row r="559" ht="15.75" customHeight="1">
      <x:c r="F559" s="14"/>
      <x:c r="H559" s="14"/>
    </x:row>
    <x:row r="560" ht="15.75" customHeight="1">
      <x:c r="F560" s="14"/>
      <x:c r="H560" s="14"/>
    </x:row>
    <x:row r="561" ht="15.75" customHeight="1">
      <x:c r="F561" s="14"/>
      <x:c r="H561" s="14"/>
    </x:row>
    <x:row r="562" ht="15.75" customHeight="1">
      <x:c r="F562" s="14"/>
      <x:c r="H562" s="14"/>
    </x:row>
    <x:row r="563" ht="15.75" customHeight="1">
      <x:c r="F563" s="14"/>
      <x:c r="H563" s="14"/>
    </x:row>
    <x:row r="564" ht="15.75" customHeight="1">
      <x:c r="F564" s="14"/>
      <x:c r="H564" s="14"/>
    </x:row>
    <x:row r="565" ht="15.75" customHeight="1">
      <x:c r="F565" s="14"/>
      <x:c r="H565" s="14"/>
    </x:row>
    <x:row r="566" ht="15.75" customHeight="1">
      <x:c r="F566" s="14"/>
      <x:c r="H566" s="14"/>
    </x:row>
    <x:row r="567" ht="15.75" customHeight="1">
      <x:c r="F567" s="14"/>
      <x:c r="H567" s="14"/>
    </x:row>
    <x:row r="568" ht="15.75" customHeight="1">
      <x:c r="F568" s="14"/>
      <x:c r="H568" s="14"/>
    </x:row>
    <x:row r="569" ht="15.75" customHeight="1">
      <x:c r="F569" s="14"/>
      <x:c r="H569" s="14"/>
    </x:row>
    <x:row r="570" ht="15.75" customHeight="1">
      <x:c r="F570" s="14"/>
      <x:c r="H570" s="14"/>
    </x:row>
    <x:row r="571" ht="15.75" customHeight="1">
      <x:c r="F571" s="14"/>
      <x:c r="H571" s="14"/>
    </x:row>
    <x:row r="572" ht="15.75" customHeight="1">
      <x:c r="F572" s="14"/>
      <x:c r="H572" s="14"/>
    </x:row>
    <x:row r="573" ht="15.75" customHeight="1">
      <x:c r="F573" s="14"/>
      <x:c r="H573" s="14"/>
    </x:row>
    <x:row r="574" ht="15.75" customHeight="1">
      <x:c r="F574" s="14"/>
      <x:c r="H574" s="14"/>
    </x:row>
    <x:row r="575" ht="15.75" customHeight="1">
      <x:c r="F575" s="14"/>
      <x:c r="H575" s="14"/>
    </x:row>
    <x:row r="576" ht="15.75" customHeight="1">
      <x:c r="F576" s="14"/>
      <x:c r="H576" s="14"/>
    </x:row>
    <x:row r="577" ht="15.75" customHeight="1">
      <x:c r="F577" s="14"/>
      <x:c r="H577" s="14"/>
    </x:row>
    <x:row r="578" ht="15.75" customHeight="1">
      <x:c r="F578" s="14"/>
      <x:c r="H578" s="14"/>
    </x:row>
    <x:row r="579" ht="15.75" customHeight="1">
      <x:c r="F579" s="14"/>
      <x:c r="H579" s="14"/>
    </x:row>
    <x:row r="580" ht="15.75" customHeight="1">
      <x:c r="F580" s="14"/>
      <x:c r="H580" s="14"/>
    </x:row>
    <x:row r="581" ht="15.75" customHeight="1">
      <x:c r="F581" s="14"/>
      <x:c r="H581" s="14"/>
    </x:row>
    <x:row r="582" ht="15.75" customHeight="1">
      <x:c r="F582" s="14"/>
      <x:c r="H582" s="14"/>
    </x:row>
    <x:row r="583" ht="15.75" customHeight="1">
      <x:c r="F583" s="14"/>
      <x:c r="H583" s="14"/>
    </x:row>
    <x:row r="584" ht="15.75" customHeight="1">
      <x:c r="F584" s="14"/>
      <x:c r="H584" s="14"/>
    </x:row>
    <x:row r="585" ht="15.75" customHeight="1">
      <x:c r="F585" s="14"/>
      <x:c r="H585" s="14"/>
    </x:row>
    <x:row r="586" ht="15.75" customHeight="1">
      <x:c r="F586" s="14"/>
      <x:c r="H586" s="14"/>
    </x:row>
    <x:row r="587" ht="15.75" customHeight="1">
      <x:c r="F587" s="14"/>
      <x:c r="H587" s="14"/>
    </x:row>
    <x:row r="588" ht="15.75" customHeight="1">
      <x:c r="F588" s="14"/>
      <x:c r="H588" s="14"/>
    </x:row>
    <x:row r="589" ht="15.75" customHeight="1">
      <x:c r="F589" s="14"/>
      <x:c r="H589" s="14"/>
    </x:row>
    <x:row r="590" ht="15.75" customHeight="1">
      <x:c r="F590" s="14"/>
      <x:c r="H590" s="14"/>
    </x:row>
    <x:row r="591" ht="15.75" customHeight="1">
      <x:c r="F591" s="14"/>
      <x:c r="H591" s="14"/>
    </x:row>
    <x:row r="592" ht="15.75" customHeight="1">
      <x:c r="F592" s="14"/>
      <x:c r="H592" s="14"/>
    </x:row>
    <x:row r="593" ht="15.75" customHeight="1">
      <x:c r="F593" s="14"/>
      <x:c r="H593" s="14"/>
    </x:row>
    <x:row r="594" ht="15.75" customHeight="1">
      <x:c r="F594" s="14"/>
      <x:c r="H594" s="14"/>
    </x:row>
    <x:row r="595" ht="15.75" customHeight="1">
      <x:c r="F595" s="14"/>
      <x:c r="H595" s="14"/>
    </x:row>
    <x:row r="596" ht="15.75" customHeight="1">
      <x:c r="F596" s="14"/>
      <x:c r="H596" s="14"/>
    </x:row>
    <x:row r="597" ht="15.75" customHeight="1">
      <x:c r="F597" s="14"/>
      <x:c r="H597" s="14"/>
    </x:row>
    <x:row r="598" ht="15.75" customHeight="1">
      <x:c r="F598" s="14"/>
      <x:c r="H598" s="14"/>
    </x:row>
    <x:row r="599" ht="15.75" customHeight="1">
      <x:c r="F599" s="14"/>
      <x:c r="H599" s="14"/>
    </x:row>
    <x:row r="600" ht="15.75" customHeight="1">
      <x:c r="F600" s="14"/>
      <x:c r="H600" s="14"/>
    </x:row>
    <x:row r="601" ht="15.75" customHeight="1">
      <x:c r="F601" s="14"/>
      <x:c r="H601" s="14"/>
    </x:row>
    <x:row r="602" ht="15.75" customHeight="1">
      <x:c r="F602" s="14"/>
      <x:c r="H602" s="14"/>
    </x:row>
    <x:row r="603" ht="15.75" customHeight="1">
      <x:c r="F603" s="14"/>
      <x:c r="H603" s="14"/>
    </x:row>
    <x:row r="604" ht="15.75" customHeight="1">
      <x:c r="F604" s="14"/>
      <x:c r="H604" s="14"/>
    </x:row>
    <x:row r="605" ht="15.75" customHeight="1">
      <x:c r="F605" s="14"/>
      <x:c r="H605" s="14"/>
    </x:row>
    <x:row r="606" ht="15.75" customHeight="1">
      <x:c r="F606" s="14"/>
      <x:c r="H606" s="14"/>
    </x:row>
    <x:row r="607" ht="15.75" customHeight="1">
      <x:c r="F607" s="14"/>
      <x:c r="H607" s="14"/>
    </x:row>
    <x:row r="608" ht="15.75" customHeight="1">
      <x:c r="F608" s="14"/>
      <x:c r="H608" s="14"/>
    </x:row>
    <x:row r="609" ht="15.75" customHeight="1">
      <x:c r="F609" s="14"/>
      <x:c r="H609" s="14"/>
    </x:row>
    <x:row r="610" ht="15.75" customHeight="1">
      <x:c r="F610" s="14"/>
      <x:c r="H610" s="14"/>
    </x:row>
    <x:row r="611" ht="15.75" customHeight="1">
      <x:c r="F611" s="14"/>
      <x:c r="H611" s="14"/>
    </x:row>
    <x:row r="612" ht="15.75" customHeight="1">
      <x:c r="F612" s="14"/>
      <x:c r="H612" s="14"/>
    </x:row>
    <x:row r="613" ht="15.75" customHeight="1">
      <x:c r="F613" s="14"/>
      <x:c r="H613" s="14"/>
    </x:row>
    <x:row r="614" ht="15.75" customHeight="1">
      <x:c r="F614" s="14"/>
      <x:c r="H614" s="14"/>
    </x:row>
    <x:row r="615" ht="15.75" customHeight="1">
      <x:c r="F615" s="14"/>
      <x:c r="H615" s="14"/>
    </x:row>
    <x:row r="616" ht="15.75" customHeight="1">
      <x:c r="F616" s="14"/>
      <x:c r="H616" s="14"/>
    </x:row>
    <x:row r="617" ht="15.75" customHeight="1">
      <x:c r="F617" s="14"/>
      <x:c r="H617" s="14"/>
    </x:row>
    <x:row r="618" ht="15.75" customHeight="1">
      <x:c r="F618" s="14"/>
      <x:c r="H618" s="14"/>
    </x:row>
    <x:row r="619" ht="15.75" customHeight="1">
      <x:c r="F619" s="14"/>
      <x:c r="H619" s="14"/>
    </x:row>
    <x:row r="620" ht="15.75" customHeight="1">
      <x:c r="F620" s="14"/>
      <x:c r="H620" s="14"/>
    </x:row>
    <x:row r="621" ht="15.75" customHeight="1">
      <x:c r="F621" s="14"/>
      <x:c r="H621" s="14"/>
    </x:row>
    <x:row r="622" ht="15.75" customHeight="1">
      <x:c r="F622" s="14"/>
      <x:c r="H622" s="14"/>
    </x:row>
    <x:row r="623" ht="15.75" customHeight="1">
      <x:c r="F623" s="14"/>
      <x:c r="H623" s="14"/>
    </x:row>
    <x:row r="624" ht="15.75" customHeight="1">
      <x:c r="F624" s="14"/>
      <x:c r="H624" s="14"/>
    </x:row>
    <x:row r="625" ht="15.75" customHeight="1">
      <x:c r="F625" s="14"/>
      <x:c r="H625" s="14"/>
    </x:row>
    <x:row r="626" ht="15.75" customHeight="1">
      <x:c r="F626" s="14"/>
      <x:c r="H626" s="14"/>
    </x:row>
    <x:row r="627" ht="15.75" customHeight="1">
      <x:c r="F627" s="14"/>
      <x:c r="H627" s="14"/>
    </x:row>
    <x:row r="628" ht="15.75" customHeight="1">
      <x:c r="F628" s="14"/>
      <x:c r="H628" s="14"/>
    </x:row>
    <x:row r="629" ht="15.75" customHeight="1">
      <x:c r="F629" s="14"/>
      <x:c r="H629" s="14"/>
    </x:row>
    <x:row r="630" ht="15.75" customHeight="1">
      <x:c r="F630" s="14"/>
      <x:c r="H630" s="14"/>
    </x:row>
    <x:row r="631" ht="15.75" customHeight="1">
      <x:c r="F631" s="14"/>
      <x:c r="H631" s="14"/>
    </x:row>
    <x:row r="632" ht="15.75" customHeight="1">
      <x:c r="F632" s="14"/>
      <x:c r="H632" s="14"/>
    </x:row>
    <x:row r="633" ht="15.75" customHeight="1">
      <x:c r="F633" s="14"/>
      <x:c r="H633" s="14"/>
    </x:row>
    <x:row r="634" ht="15.75" customHeight="1">
      <x:c r="F634" s="14"/>
      <x:c r="H634" s="14"/>
    </x:row>
    <x:row r="635" ht="15.75" customHeight="1">
      <x:c r="F635" s="14"/>
      <x:c r="H635" s="14"/>
    </x:row>
    <x:row r="636" ht="15.75" customHeight="1">
      <x:c r="F636" s="14"/>
      <x:c r="H636" s="14"/>
    </x:row>
    <x:row r="637" ht="15.75" customHeight="1">
      <x:c r="F637" s="14"/>
      <x:c r="H637" s="14"/>
    </x:row>
    <x:row r="638" ht="15.75" customHeight="1">
      <x:c r="F638" s="14"/>
      <x:c r="H638" s="14"/>
    </x:row>
    <x:row r="639" ht="15.75" customHeight="1">
      <x:c r="F639" s="14"/>
      <x:c r="H639" s="14"/>
    </x:row>
    <x:row r="640" ht="15.75" customHeight="1">
      <x:c r="F640" s="14"/>
      <x:c r="H640" s="14"/>
    </x:row>
    <x:row r="641" ht="15.75" customHeight="1">
      <x:c r="F641" s="14"/>
      <x:c r="H641" s="14"/>
    </x:row>
    <x:row r="642" ht="15.75" customHeight="1">
      <x:c r="F642" s="14"/>
      <x:c r="H642" s="14"/>
    </x:row>
    <x:row r="643" ht="15.75" customHeight="1">
      <x:c r="F643" s="14"/>
      <x:c r="H643" s="14"/>
    </x:row>
    <x:row r="644" ht="15.75" customHeight="1">
      <x:c r="F644" s="14"/>
      <x:c r="H644" s="14"/>
    </x:row>
    <x:row r="645" ht="15.75" customHeight="1">
      <x:c r="F645" s="14"/>
      <x:c r="H645" s="14"/>
    </x:row>
    <x:row r="646" ht="15.75" customHeight="1">
      <x:c r="F646" s="14"/>
      <x:c r="H646" s="14"/>
    </x:row>
    <x:row r="647" ht="15.75" customHeight="1">
      <x:c r="F647" s="14"/>
      <x:c r="H647" s="14"/>
    </x:row>
    <x:row r="648" ht="15.75" customHeight="1">
      <x:c r="F648" s="14"/>
      <x:c r="H648" s="14"/>
    </x:row>
    <x:row r="649" ht="15.75" customHeight="1">
      <x:c r="F649" s="14"/>
      <x:c r="H649" s="14"/>
    </x:row>
    <x:row r="650" ht="15.75" customHeight="1">
      <x:c r="F650" s="14"/>
      <x:c r="H650" s="14"/>
    </x:row>
    <x:row r="651" ht="15.75" customHeight="1">
      <x:c r="F651" s="14"/>
      <x:c r="H651" s="14"/>
    </x:row>
    <x:row r="652" ht="15.75" customHeight="1">
      <x:c r="F652" s="14"/>
      <x:c r="H652" s="14"/>
    </x:row>
    <x:row r="653" ht="15.75" customHeight="1">
      <x:c r="F653" s="14"/>
      <x:c r="H653" s="14"/>
    </x:row>
    <x:row r="654" ht="15.75" customHeight="1">
      <x:c r="F654" s="14"/>
      <x:c r="H654" s="14"/>
    </x:row>
    <x:row r="655" ht="15.75" customHeight="1">
      <x:c r="F655" s="14"/>
      <x:c r="H655" s="14"/>
    </x:row>
    <x:row r="656" ht="15.75" customHeight="1">
      <x:c r="F656" s="14"/>
      <x:c r="H656" s="14"/>
    </x:row>
    <x:row r="657" ht="15.75" customHeight="1">
      <x:c r="F657" s="14"/>
      <x:c r="H657" s="14"/>
    </x:row>
    <x:row r="658" ht="15.75" customHeight="1">
      <x:c r="F658" s="14"/>
      <x:c r="H658" s="14"/>
    </x:row>
    <x:row r="659" ht="15.75" customHeight="1">
      <x:c r="F659" s="14"/>
      <x:c r="H659" s="14"/>
    </x:row>
    <x:row r="660" ht="15.75" customHeight="1">
      <x:c r="F660" s="14"/>
      <x:c r="H660" s="14"/>
    </x:row>
    <x:row r="661" ht="15.75" customHeight="1">
      <x:c r="F661" s="14"/>
      <x:c r="H661" s="14"/>
    </x:row>
    <x:row r="662" ht="15.75" customHeight="1">
      <x:c r="F662" s="14"/>
      <x:c r="H662" s="14"/>
    </x:row>
    <x:row r="663" ht="15.75" customHeight="1">
      <x:c r="F663" s="14"/>
      <x:c r="H663" s="14"/>
    </x:row>
    <x:row r="664" ht="15.75" customHeight="1">
      <x:c r="F664" s="14"/>
      <x:c r="H664" s="14"/>
    </x:row>
    <x:row r="665" ht="15.75" customHeight="1">
      <x:c r="F665" s="14"/>
      <x:c r="H665" s="14"/>
    </x:row>
    <x:row r="666" ht="15.75" customHeight="1">
      <x:c r="F666" s="14"/>
      <x:c r="H666" s="14"/>
    </x:row>
    <x:row r="667" ht="15.75" customHeight="1">
      <x:c r="F667" s="14"/>
      <x:c r="H667" s="14"/>
    </x:row>
    <x:row r="668" ht="15.75" customHeight="1">
      <x:c r="F668" s="14"/>
      <x:c r="H668" s="14"/>
    </x:row>
    <x:row r="669" ht="15.75" customHeight="1">
      <x:c r="F669" s="14"/>
      <x:c r="H669" s="14"/>
    </x:row>
    <x:row r="670" ht="15.75" customHeight="1">
      <x:c r="F670" s="14"/>
      <x:c r="H670" s="14"/>
    </x:row>
    <x:row r="671" ht="15.75" customHeight="1">
      <x:c r="F671" s="14"/>
      <x:c r="H671" s="14"/>
    </x:row>
    <x:row r="672" ht="15.75" customHeight="1">
      <x:c r="F672" s="14"/>
      <x:c r="H672" s="14"/>
    </x:row>
    <x:row r="673" ht="15.75" customHeight="1">
      <x:c r="F673" s="14"/>
      <x:c r="H673" s="14"/>
    </x:row>
    <x:row r="674" ht="15.75" customHeight="1">
      <x:c r="F674" s="14"/>
      <x:c r="H674" s="14"/>
    </x:row>
    <x:row r="675" ht="15.75" customHeight="1">
      <x:c r="F675" s="14"/>
      <x:c r="H675" s="14"/>
    </x:row>
    <x:row r="676" ht="15.75" customHeight="1">
      <x:c r="F676" s="14"/>
      <x:c r="H676" s="14"/>
    </x:row>
    <x:row r="677" ht="15.75" customHeight="1">
      <x:c r="F677" s="14"/>
      <x:c r="H677" s="14"/>
    </x:row>
    <x:row r="678" ht="15.75" customHeight="1">
      <x:c r="F678" s="14"/>
      <x:c r="H678" s="14"/>
    </x:row>
    <x:row r="679" ht="15.75" customHeight="1">
      <x:c r="F679" s="14"/>
      <x:c r="H679" s="14"/>
    </x:row>
    <x:row r="680" ht="15.75" customHeight="1">
      <x:c r="F680" s="14"/>
      <x:c r="H680" s="14"/>
    </x:row>
    <x:row r="681" ht="15.75" customHeight="1">
      <x:c r="F681" s="14"/>
      <x:c r="H681" s="14"/>
    </x:row>
    <x:row r="682" ht="15.75" customHeight="1">
      <x:c r="F682" s="14"/>
      <x:c r="H682" s="14"/>
    </x:row>
    <x:row r="683" ht="15.75" customHeight="1">
      <x:c r="F683" s="14"/>
      <x:c r="H683" s="14"/>
    </x:row>
    <x:row r="684" ht="15.75" customHeight="1">
      <x:c r="F684" s="14"/>
      <x:c r="H684" s="14"/>
    </x:row>
    <x:row r="685" ht="15.75" customHeight="1">
      <x:c r="F685" s="14"/>
      <x:c r="H685" s="14"/>
    </x:row>
    <x:row r="686" ht="15.75" customHeight="1">
      <x:c r="F686" s="14"/>
      <x:c r="H686" s="14"/>
    </x:row>
    <x:row r="687" ht="15.75" customHeight="1">
      <x:c r="F687" s="14"/>
      <x:c r="H687" s="14"/>
    </x:row>
    <x:row r="688" ht="15.75" customHeight="1">
      <x:c r="F688" s="14"/>
      <x:c r="H688" s="14"/>
    </x:row>
    <x:row r="689" ht="15.75" customHeight="1">
      <x:c r="F689" s="14"/>
      <x:c r="H689" s="14"/>
    </x:row>
    <x:row r="690" ht="15.75" customHeight="1">
      <x:c r="F690" s="14"/>
      <x:c r="H690" s="14"/>
    </x:row>
    <x:row r="691" ht="15.75" customHeight="1">
      <x:c r="F691" s="14"/>
      <x:c r="H691" s="14"/>
    </x:row>
    <x:row r="692" ht="15.75" customHeight="1">
      <x:c r="F692" s="14"/>
      <x:c r="H692" s="14"/>
    </x:row>
    <x:row r="693" ht="15.75" customHeight="1">
      <x:c r="F693" s="14"/>
      <x:c r="H693" s="14"/>
    </x:row>
    <x:row r="694" ht="15.75" customHeight="1">
      <x:c r="F694" s="14"/>
      <x:c r="H694" s="14"/>
    </x:row>
    <x:row r="695" ht="15.75" customHeight="1">
      <x:c r="F695" s="14"/>
      <x:c r="H695" s="14"/>
    </x:row>
    <x:row r="696" ht="15.75" customHeight="1">
      <x:c r="F696" s="14"/>
      <x:c r="H696" s="14"/>
    </x:row>
    <x:row r="697" ht="15.75" customHeight="1">
      <x:c r="F697" s="14"/>
      <x:c r="H697" s="14"/>
    </x:row>
    <x:row r="698" ht="15.75" customHeight="1">
      <x:c r="F698" s="14"/>
      <x:c r="H698" s="14"/>
    </x:row>
    <x:row r="699" ht="15.75" customHeight="1">
      <x:c r="F699" s="14"/>
      <x:c r="H699" s="14"/>
    </x:row>
    <x:row r="700" ht="15.75" customHeight="1">
      <x:c r="F700" s="14"/>
      <x:c r="H700" s="14"/>
    </x:row>
    <x:row r="701" ht="15.75" customHeight="1">
      <x:c r="F701" s="14"/>
      <x:c r="H701" s="14"/>
    </x:row>
    <x:row r="702" ht="15.75" customHeight="1">
      <x:c r="F702" s="14"/>
      <x:c r="H702" s="14"/>
    </x:row>
    <x:row r="703" ht="15.75" customHeight="1">
      <x:c r="F703" s="14"/>
      <x:c r="H703" s="14"/>
    </x:row>
    <x:row r="704" ht="15.75" customHeight="1">
      <x:c r="F704" s="14"/>
      <x:c r="H704" s="14"/>
    </x:row>
    <x:row r="705" ht="15.75" customHeight="1">
      <x:c r="F705" s="14"/>
      <x:c r="H705" s="14"/>
    </x:row>
    <x:row r="706" ht="15.75" customHeight="1">
      <x:c r="F706" s="14"/>
      <x:c r="H706" s="14"/>
    </x:row>
    <x:row r="707" ht="15.75" customHeight="1">
      <x:c r="F707" s="14"/>
      <x:c r="H707" s="14"/>
    </x:row>
    <x:row r="708" ht="15.75" customHeight="1">
      <x:c r="F708" s="14"/>
      <x:c r="H708" s="14"/>
    </x:row>
    <x:row r="709" ht="15.75" customHeight="1">
      <x:c r="F709" s="14"/>
      <x:c r="H709" s="14"/>
    </x:row>
    <x:row r="710" ht="15.75" customHeight="1">
      <x:c r="F710" s="14"/>
      <x:c r="H710" s="14"/>
    </x:row>
    <x:row r="711" ht="15.75" customHeight="1">
      <x:c r="F711" s="14"/>
      <x:c r="H711" s="14"/>
    </x:row>
    <x:row r="712" ht="15.75" customHeight="1">
      <x:c r="F712" s="14"/>
      <x:c r="H712" s="14"/>
    </x:row>
    <x:row r="713" ht="15.75" customHeight="1">
      <x:c r="F713" s="14"/>
      <x:c r="H713" s="14"/>
    </x:row>
    <x:row r="714" ht="15.75" customHeight="1">
      <x:c r="F714" s="14"/>
      <x:c r="H714" s="14"/>
    </x:row>
    <x:row r="715" ht="15.75" customHeight="1">
      <x:c r="F715" s="14"/>
      <x:c r="H715" s="14"/>
    </x:row>
    <x:row r="716" ht="15.75" customHeight="1">
      <x:c r="F716" s="14"/>
      <x:c r="H716" s="14"/>
    </x:row>
    <x:row r="717" ht="15.75" customHeight="1">
      <x:c r="F717" s="14"/>
      <x:c r="H717" s="14"/>
    </x:row>
    <x:row r="718" ht="15.75" customHeight="1">
      <x:c r="F718" s="14"/>
      <x:c r="H718" s="14"/>
    </x:row>
    <x:row r="719" ht="15.75" customHeight="1">
      <x:c r="F719" s="14"/>
      <x:c r="H719" s="14"/>
    </x:row>
    <x:row r="720" ht="15.75" customHeight="1">
      <x:c r="F720" s="14"/>
      <x:c r="H720" s="14"/>
    </x:row>
    <x:row r="721" ht="15.75" customHeight="1">
      <x:c r="F721" s="14"/>
      <x:c r="H721" s="14"/>
    </x:row>
    <x:row r="722" ht="15.75" customHeight="1">
      <x:c r="F722" s="14"/>
      <x:c r="H722" s="14"/>
    </x:row>
    <x:row r="723" ht="15.75" customHeight="1">
      <x:c r="F723" s="14"/>
      <x:c r="H723" s="14"/>
    </x:row>
    <x:row r="724" ht="15.75" customHeight="1">
      <x:c r="F724" s="14"/>
      <x:c r="H724" s="14"/>
    </x:row>
    <x:row r="725" ht="15.75" customHeight="1">
      <x:c r="F725" s="14"/>
      <x:c r="H725" s="14"/>
    </x:row>
    <x:row r="726" ht="15.75" customHeight="1">
      <x:c r="F726" s="14"/>
      <x:c r="H726" s="14"/>
    </x:row>
    <x:row r="727" ht="15.75" customHeight="1">
      <x:c r="F727" s="14"/>
      <x:c r="H727" s="14"/>
    </x:row>
    <x:row r="728" ht="15.75" customHeight="1">
      <x:c r="F728" s="14"/>
      <x:c r="H728" s="14"/>
    </x:row>
    <x:row r="729" ht="15.75" customHeight="1">
      <x:c r="F729" s="14"/>
      <x:c r="H729" s="14"/>
    </x:row>
    <x:row r="730" ht="15.75" customHeight="1">
      <x:c r="F730" s="14"/>
      <x:c r="H730" s="14"/>
    </x:row>
    <x:row r="731" ht="15.75" customHeight="1">
      <x:c r="F731" s="14"/>
      <x:c r="H731" s="14"/>
    </x:row>
    <x:row r="732" ht="15.75" customHeight="1">
      <x:c r="F732" s="14"/>
      <x:c r="H732" s="14"/>
    </x:row>
    <x:row r="733" ht="15.75" customHeight="1">
      <x:c r="F733" s="14"/>
      <x:c r="H733" s="14"/>
    </x:row>
    <x:row r="734" ht="15.75" customHeight="1">
      <x:c r="F734" s="14"/>
      <x:c r="H734" s="14"/>
    </x:row>
    <x:row r="735" ht="15.75" customHeight="1">
      <x:c r="F735" s="14"/>
      <x:c r="H735" s="14"/>
    </x:row>
    <x:row r="736" ht="15.75" customHeight="1">
      <x:c r="F736" s="14"/>
      <x:c r="H736" s="14"/>
    </x:row>
    <x:row r="737" ht="15.75" customHeight="1">
      <x:c r="F737" s="14"/>
      <x:c r="H737" s="14"/>
    </x:row>
    <x:row r="738" ht="15.75" customHeight="1">
      <x:c r="F738" s="14"/>
      <x:c r="H738" s="14"/>
    </x:row>
    <x:row r="739" ht="15.75" customHeight="1">
      <x:c r="F739" s="14"/>
      <x:c r="H739" s="14"/>
    </x:row>
    <x:row r="740" ht="15.75" customHeight="1">
      <x:c r="F740" s="14"/>
      <x:c r="H740" s="14"/>
    </x:row>
    <x:row r="741" ht="15.75" customHeight="1">
      <x:c r="F741" s="14"/>
      <x:c r="H741" s="14"/>
    </x:row>
    <x:row r="742" ht="15.75" customHeight="1">
      <x:c r="F742" s="14"/>
      <x:c r="H742" s="14"/>
    </x:row>
    <x:row r="743" ht="15.75" customHeight="1">
      <x:c r="F743" s="14"/>
      <x:c r="H743" s="14"/>
    </x:row>
    <x:row r="744" ht="15.75" customHeight="1">
      <x:c r="F744" s="14"/>
      <x:c r="H744" s="14"/>
    </x:row>
    <x:row r="745" ht="15.75" customHeight="1">
      <x:c r="F745" s="14"/>
      <x:c r="H745" s="14"/>
    </x:row>
    <x:row r="746" ht="15.75" customHeight="1">
      <x:c r="F746" s="14"/>
      <x:c r="H746" s="14"/>
    </x:row>
    <x:row r="747" ht="15.75" customHeight="1">
      <x:c r="F747" s="14"/>
      <x:c r="H747" s="14"/>
    </x:row>
    <x:row r="748" ht="15.75" customHeight="1">
      <x:c r="F748" s="14"/>
      <x:c r="H748" s="14"/>
    </x:row>
    <x:row r="749" ht="15.75" customHeight="1">
      <x:c r="F749" s="14"/>
      <x:c r="H749" s="14"/>
    </x:row>
    <x:row r="750" ht="15.75" customHeight="1">
      <x:c r="F750" s="14"/>
      <x:c r="H750" s="14"/>
    </x:row>
    <x:row r="751" ht="15.75" customHeight="1">
      <x:c r="F751" s="14"/>
      <x:c r="H751" s="14"/>
    </x:row>
    <x:row r="752" ht="15.75" customHeight="1">
      <x:c r="F752" s="14"/>
      <x:c r="H752" s="14"/>
    </x:row>
    <x:row r="753" ht="15.75" customHeight="1">
      <x:c r="F753" s="14"/>
      <x:c r="H753" s="14"/>
    </x:row>
    <x:row r="754" ht="15.75" customHeight="1">
      <x:c r="F754" s="14"/>
      <x:c r="H754" s="14"/>
    </x:row>
    <x:row r="755" ht="15.75" customHeight="1">
      <x:c r="F755" s="14"/>
      <x:c r="H755" s="14"/>
    </x:row>
    <x:row r="756" ht="15.75" customHeight="1">
      <x:c r="F756" s="14"/>
      <x:c r="H756" s="14"/>
    </x:row>
    <x:row r="757" ht="15.75" customHeight="1">
      <x:c r="F757" s="14"/>
      <x:c r="H757" s="14"/>
    </x:row>
    <x:row r="758" ht="15.75" customHeight="1">
      <x:c r="F758" s="14"/>
      <x:c r="H758" s="14"/>
    </x:row>
    <x:row r="759" ht="15.75" customHeight="1">
      <x:c r="F759" s="14"/>
      <x:c r="H759" s="14"/>
    </x:row>
    <x:row r="760" ht="15.75" customHeight="1">
      <x:c r="F760" s="14"/>
      <x:c r="H760" s="14"/>
    </x:row>
    <x:row r="761" ht="15.75" customHeight="1">
      <x:c r="F761" s="14"/>
      <x:c r="H761" s="14"/>
    </x:row>
    <x:row r="762" ht="15.75" customHeight="1">
      <x:c r="F762" s="14"/>
      <x:c r="H762" s="14"/>
    </x:row>
    <x:row r="763" ht="15.75" customHeight="1">
      <x:c r="F763" s="14"/>
      <x:c r="H763" s="14"/>
    </x:row>
    <x:row r="764" ht="15.75" customHeight="1">
      <x:c r="F764" s="14"/>
      <x:c r="H764" s="14"/>
    </x:row>
    <x:row r="765" ht="15.75" customHeight="1">
      <x:c r="F765" s="14"/>
      <x:c r="H765" s="14"/>
    </x:row>
    <x:row r="766" ht="15.75" customHeight="1">
      <x:c r="F766" s="14"/>
      <x:c r="H766" s="14"/>
    </x:row>
    <x:row r="767" ht="15.75" customHeight="1">
      <x:c r="F767" s="14"/>
      <x:c r="H767" s="14"/>
    </x:row>
    <x:row r="768" ht="15.75" customHeight="1">
      <x:c r="F768" s="14"/>
      <x:c r="H768" s="14"/>
    </x:row>
    <x:row r="769" ht="15.75" customHeight="1">
      <x:c r="F769" s="14"/>
      <x:c r="H769" s="14"/>
    </x:row>
    <x:row r="770" ht="15.75" customHeight="1">
      <x:c r="F770" s="14"/>
      <x:c r="H770" s="14"/>
    </x:row>
    <x:row r="771" ht="15.75" customHeight="1">
      <x:c r="F771" s="14"/>
      <x:c r="H771" s="14"/>
    </x:row>
    <x:row r="772" ht="15.75" customHeight="1">
      <x:c r="F772" s="14"/>
      <x:c r="H772" s="14"/>
    </x:row>
    <x:row r="773" ht="15.75" customHeight="1">
      <x:c r="F773" s="14"/>
      <x:c r="H773" s="14"/>
    </x:row>
    <x:row r="774" ht="15.75" customHeight="1">
      <x:c r="F774" s="14"/>
      <x:c r="H774" s="14"/>
    </x:row>
    <x:row r="775" ht="15.75" customHeight="1">
      <x:c r="F775" s="14"/>
      <x:c r="H775" s="14"/>
    </x:row>
    <x:row r="776" ht="15.75" customHeight="1">
      <x:c r="F776" s="14"/>
      <x:c r="H776" s="14"/>
    </x:row>
    <x:row r="777" ht="15.75" customHeight="1">
      <x:c r="F777" s="14"/>
      <x:c r="H777" s="14"/>
    </x:row>
    <x:row r="778" ht="15.75" customHeight="1">
      <x:c r="F778" s="14"/>
      <x:c r="H778" s="14"/>
    </x:row>
    <x:row r="779" ht="15.75" customHeight="1">
      <x:c r="F779" s="14"/>
      <x:c r="H779" s="14"/>
    </x:row>
    <x:row r="780" ht="15.75" customHeight="1">
      <x:c r="F780" s="14"/>
      <x:c r="H780" s="14"/>
    </x:row>
    <x:row r="781" ht="15.75" customHeight="1">
      <x:c r="F781" s="14"/>
      <x:c r="H781" s="14"/>
    </x:row>
    <x:row r="782" ht="15.75" customHeight="1">
      <x:c r="F782" s="14"/>
      <x:c r="H782" s="14"/>
    </x:row>
    <x:row r="783" ht="15.75" customHeight="1">
      <x:c r="F783" s="14"/>
      <x:c r="H783" s="14"/>
    </x:row>
    <x:row r="784" ht="15.75" customHeight="1">
      <x:c r="F784" s="14"/>
      <x:c r="H784" s="14"/>
    </x:row>
    <x:row r="785" ht="15.75" customHeight="1">
      <x:c r="F785" s="14"/>
      <x:c r="H785" s="14"/>
    </x:row>
    <x:row r="786" ht="15.75" customHeight="1">
      <x:c r="F786" s="14"/>
      <x:c r="H786" s="14"/>
    </x:row>
    <x:row r="787" ht="15.75" customHeight="1">
      <x:c r="F787" s="14"/>
      <x:c r="H787" s="14"/>
    </x:row>
    <x:row r="788" ht="15.75" customHeight="1">
      <x:c r="F788" s="14"/>
      <x:c r="H788" s="14"/>
    </x:row>
    <x:row r="789" ht="15.75" customHeight="1">
      <x:c r="F789" s="14"/>
      <x:c r="H789" s="14"/>
    </x:row>
    <x:row r="790" ht="15.75" customHeight="1">
      <x:c r="F790" s="14"/>
      <x:c r="H790" s="14"/>
    </x:row>
    <x:row r="791" ht="15.75" customHeight="1">
      <x:c r="F791" s="14"/>
      <x:c r="H791" s="14"/>
    </x:row>
    <x:row r="792" ht="15.75" customHeight="1">
      <x:c r="F792" s="14"/>
      <x:c r="H792" s="14"/>
    </x:row>
    <x:row r="793" ht="15.75" customHeight="1">
      <x:c r="F793" s="14"/>
      <x:c r="H793" s="14"/>
    </x:row>
    <x:row r="794" ht="15.75" customHeight="1">
      <x:c r="F794" s="14"/>
      <x:c r="H794" s="14"/>
    </x:row>
    <x:row r="795" ht="15.75" customHeight="1">
      <x:c r="F795" s="14"/>
      <x:c r="H795" s="14"/>
    </x:row>
    <x:row r="796" ht="15.75" customHeight="1">
      <x:c r="F796" s="14"/>
      <x:c r="H796" s="14"/>
    </x:row>
    <x:row r="797" ht="15.75" customHeight="1">
      <x:c r="F797" s="14"/>
      <x:c r="H797" s="14"/>
    </x:row>
    <x:row r="798" ht="15.75" customHeight="1">
      <x:c r="F798" s="14"/>
      <x:c r="H798" s="14"/>
    </x:row>
    <x:row r="799" ht="15.75" customHeight="1">
      <x:c r="F799" s="14"/>
      <x:c r="H799" s="14"/>
    </x:row>
    <x:row r="800" ht="15.75" customHeight="1">
      <x:c r="F800" s="14"/>
      <x:c r="H800" s="14"/>
    </x:row>
    <x:row r="801" ht="15.75" customHeight="1">
      <x:c r="F801" s="14"/>
      <x:c r="H801" s="14"/>
    </x:row>
    <x:row r="802" ht="15.75" customHeight="1">
      <x:c r="F802" s="14"/>
      <x:c r="H802" s="14"/>
    </x:row>
    <x:row r="803" ht="15.75" customHeight="1">
      <x:c r="F803" s="14"/>
      <x:c r="H803" s="14"/>
    </x:row>
    <x:row r="804" ht="15.75" customHeight="1">
      <x:c r="F804" s="14"/>
      <x:c r="H804" s="14"/>
    </x:row>
    <x:row r="805" ht="15.75" customHeight="1">
      <x:c r="F805" s="14"/>
      <x:c r="H805" s="14"/>
    </x:row>
    <x:row r="806" ht="15.75" customHeight="1">
      <x:c r="F806" s="14"/>
      <x:c r="H806" s="14"/>
    </x:row>
    <x:row r="807" ht="15.75" customHeight="1">
      <x:c r="F807" s="14"/>
      <x:c r="H807" s="14"/>
    </x:row>
    <x:row r="808" ht="15.75" customHeight="1">
      <x:c r="F808" s="14"/>
      <x:c r="H808" s="14"/>
    </x:row>
    <x:row r="809" ht="15.75" customHeight="1">
      <x:c r="F809" s="14"/>
      <x:c r="H809" s="14"/>
    </x:row>
    <x:row r="810" ht="15.75" customHeight="1">
      <x:c r="F810" s="14"/>
      <x:c r="H810" s="14"/>
    </x:row>
    <x:row r="811" ht="15.75" customHeight="1">
      <x:c r="F811" s="14"/>
      <x:c r="H811" s="14"/>
    </x:row>
    <x:row r="812" ht="15.75" customHeight="1">
      <x:c r="F812" s="14"/>
      <x:c r="H812" s="14"/>
    </x:row>
    <x:row r="813" ht="15.75" customHeight="1">
      <x:c r="F813" s="14"/>
      <x:c r="H813" s="14"/>
    </x:row>
    <x:row r="814" ht="15.75" customHeight="1">
      <x:c r="F814" s="14"/>
      <x:c r="H814" s="14"/>
    </x:row>
    <x:row r="815" ht="15.75" customHeight="1">
      <x:c r="F815" s="14"/>
      <x:c r="H815" s="14"/>
    </x:row>
    <x:row r="816" ht="15.75" customHeight="1">
      <x:c r="F816" s="14"/>
      <x:c r="H816" s="14"/>
    </x:row>
    <x:row r="817" ht="15.75" customHeight="1">
      <x:c r="F817" s="14"/>
      <x:c r="H817" s="14"/>
    </x:row>
    <x:row r="818" ht="15.75" customHeight="1">
      <x:c r="F818" s="14"/>
      <x:c r="H818" s="14"/>
    </x:row>
    <x:row r="819" ht="15.75" customHeight="1">
      <x:c r="F819" s="14"/>
      <x:c r="H819" s="14"/>
    </x:row>
    <x:row r="820" ht="15.75" customHeight="1">
      <x:c r="F820" s="14"/>
      <x:c r="H820" s="14"/>
    </x:row>
    <x:row r="821" ht="15.75" customHeight="1">
      <x:c r="F821" s="14"/>
      <x:c r="H821" s="14"/>
    </x:row>
    <x:row r="822" ht="15.75" customHeight="1">
      <x:c r="F822" s="14"/>
      <x:c r="H822" s="14"/>
    </x:row>
    <x:row r="823" ht="15.75" customHeight="1">
      <x:c r="F823" s="14"/>
      <x:c r="H823" s="14"/>
    </x:row>
    <x:row r="824" ht="15.75" customHeight="1">
      <x:c r="F824" s="14"/>
      <x:c r="H824" s="14"/>
    </x:row>
    <x:row r="825" ht="15.75" customHeight="1">
      <x:c r="F825" s="14"/>
      <x:c r="H825" s="14"/>
    </x:row>
    <x:row r="826" ht="15.75" customHeight="1">
      <x:c r="F826" s="14"/>
      <x:c r="H826" s="14"/>
    </x:row>
    <x:row r="827" ht="15.75" customHeight="1">
      <x:c r="F827" s="14"/>
      <x:c r="H827" s="14"/>
    </x:row>
    <x:row r="828" ht="15.75" customHeight="1">
      <x:c r="F828" s="14"/>
      <x:c r="H828" s="14"/>
    </x:row>
    <x:row r="829" ht="15.75" customHeight="1">
      <x:c r="F829" s="14"/>
      <x:c r="H829" s="14"/>
    </x:row>
    <x:row r="830" ht="15.75" customHeight="1">
      <x:c r="F830" s="14"/>
      <x:c r="H830" s="14"/>
    </x:row>
    <x:row r="831" ht="15.75" customHeight="1">
      <x:c r="F831" s="14"/>
      <x:c r="H831" s="14"/>
    </x:row>
    <x:row r="832" ht="15.75" customHeight="1">
      <x:c r="F832" s="14"/>
      <x:c r="H832" s="14"/>
    </x:row>
    <x:row r="833" ht="15.75" customHeight="1">
      <x:c r="F833" s="14"/>
      <x:c r="H833" s="14"/>
    </x:row>
    <x:row r="834" ht="15.75" customHeight="1">
      <x:c r="F834" s="14"/>
      <x:c r="H834" s="14"/>
    </x:row>
    <x:row r="835" ht="15.75" customHeight="1">
      <x:c r="F835" s="14"/>
      <x:c r="H835" s="14"/>
    </x:row>
    <x:row r="836" ht="15.75" customHeight="1">
      <x:c r="F836" s="14"/>
      <x:c r="H836" s="14"/>
    </x:row>
    <x:row r="837" ht="15.75" customHeight="1">
      <x:c r="F837" s="14"/>
      <x:c r="H837" s="14"/>
    </x:row>
    <x:row r="838" ht="15.75" customHeight="1">
      <x:c r="F838" s="14"/>
      <x:c r="H838" s="14"/>
    </x:row>
    <x:row r="839" ht="15.75" customHeight="1">
      <x:c r="F839" s="14"/>
      <x:c r="H839" s="14"/>
    </x:row>
    <x:row r="840" ht="15.75" customHeight="1">
      <x:c r="F840" s="14"/>
      <x:c r="H840" s="14"/>
    </x:row>
    <x:row r="841" ht="15.75" customHeight="1">
      <x:c r="F841" s="14"/>
      <x:c r="H841" s="14"/>
    </x:row>
    <x:row r="842" ht="15.75" customHeight="1">
      <x:c r="F842" s="14"/>
      <x:c r="H842" s="14"/>
    </x:row>
    <x:row r="843" ht="15.75" customHeight="1">
      <x:c r="F843" s="14"/>
      <x:c r="H843" s="14"/>
    </x:row>
    <x:row r="844" ht="15.75" customHeight="1">
      <x:c r="F844" s="14"/>
      <x:c r="H844" s="14"/>
    </x:row>
    <x:row r="845" ht="15.75" customHeight="1">
      <x:c r="F845" s="14"/>
      <x:c r="H845" s="14"/>
    </x:row>
    <x:row r="846" ht="15.75" customHeight="1">
      <x:c r="F846" s="14"/>
      <x:c r="H846" s="14"/>
    </x:row>
    <x:row r="847" ht="15.75" customHeight="1">
      <x:c r="F847" s="14"/>
      <x:c r="H847" s="14"/>
    </x:row>
    <x:row r="848" ht="15.75" customHeight="1">
      <x:c r="F848" s="14"/>
      <x:c r="H848" s="14"/>
    </x:row>
    <x:row r="849" ht="15.75" customHeight="1">
      <x:c r="F849" s="14"/>
      <x:c r="H849" s="14"/>
    </x:row>
    <x:row r="850" ht="15.75" customHeight="1">
      <x:c r="F850" s="14"/>
      <x:c r="H850" s="14"/>
    </x:row>
    <x:row r="851" ht="15.75" customHeight="1">
      <x:c r="F851" s="14"/>
      <x:c r="H851" s="14"/>
    </x:row>
    <x:row r="852" ht="15.75" customHeight="1">
      <x:c r="F852" s="14"/>
      <x:c r="H852" s="14"/>
    </x:row>
    <x:row r="853" ht="15.75" customHeight="1">
      <x:c r="F853" s="14"/>
      <x:c r="H853" s="14"/>
    </x:row>
    <x:row r="854" ht="15.75" customHeight="1">
      <x:c r="F854" s="14"/>
      <x:c r="H854" s="14"/>
    </x:row>
    <x:row r="855" ht="15.75" customHeight="1">
      <x:c r="F855" s="14"/>
      <x:c r="H855" s="14"/>
    </x:row>
    <x:row r="856" ht="15.75" customHeight="1">
      <x:c r="F856" s="14"/>
      <x:c r="H856" s="14"/>
    </x:row>
    <x:row r="857" ht="15.75" customHeight="1">
      <x:c r="F857" s="14"/>
      <x:c r="H857" s="14"/>
    </x:row>
    <x:row r="858" ht="15.75" customHeight="1">
      <x:c r="F858" s="14"/>
      <x:c r="H858" s="14"/>
    </x:row>
    <x:row r="859" ht="15.75" customHeight="1">
      <x:c r="F859" s="14"/>
      <x:c r="H859" s="14"/>
    </x:row>
    <x:row r="860" ht="15.75" customHeight="1">
      <x:c r="F860" s="14"/>
      <x:c r="H860" s="14"/>
    </x:row>
    <x:row r="861" ht="15.75" customHeight="1">
      <x:c r="F861" s="14"/>
      <x:c r="H861" s="14"/>
    </x:row>
    <x:row r="862" ht="15.75" customHeight="1">
      <x:c r="F862" s="14"/>
      <x:c r="H862" s="14"/>
    </x:row>
    <x:row r="863" ht="15.75" customHeight="1">
      <x:c r="F863" s="14"/>
      <x:c r="H863" s="14"/>
    </x:row>
    <x:row r="864" ht="15.75" customHeight="1">
      <x:c r="F864" s="14"/>
      <x:c r="H864" s="14"/>
    </x:row>
    <x:row r="865" ht="15.75" customHeight="1">
      <x:c r="F865" s="14"/>
      <x:c r="H865" s="14"/>
    </x:row>
    <x:row r="866" ht="15.75" customHeight="1">
      <x:c r="F866" s="14"/>
      <x:c r="H866" s="14"/>
    </x:row>
    <x:row r="867" ht="15.75" customHeight="1">
      <x:c r="F867" s="14"/>
      <x:c r="H867" s="14"/>
    </x:row>
    <x:row r="868" ht="15.75" customHeight="1">
      <x:c r="F868" s="14"/>
      <x:c r="H868" s="14"/>
    </x:row>
    <x:row r="869" ht="15.75" customHeight="1">
      <x:c r="F869" s="14"/>
      <x:c r="H869" s="14"/>
    </x:row>
    <x:row r="870" ht="15.75" customHeight="1">
      <x:c r="F870" s="14"/>
      <x:c r="H870" s="14"/>
    </x:row>
    <x:row r="871" ht="15.75" customHeight="1">
      <x:c r="F871" s="14"/>
      <x:c r="H871" s="14"/>
    </x:row>
    <x:row r="872" ht="15.75" customHeight="1">
      <x:c r="F872" s="14"/>
      <x:c r="H872" s="14"/>
    </x:row>
    <x:row r="873" ht="15.75" customHeight="1">
      <x:c r="F873" s="14"/>
      <x:c r="H873" s="14"/>
    </x:row>
    <x:row r="874" ht="15.75" customHeight="1">
      <x:c r="F874" s="14"/>
      <x:c r="H874" s="14"/>
    </x:row>
    <x:row r="875" ht="15.75" customHeight="1">
      <x:c r="F875" s="14"/>
      <x:c r="H875" s="14"/>
    </x:row>
    <x:row r="876" ht="15.75" customHeight="1">
      <x:c r="F876" s="14"/>
      <x:c r="H876" s="14"/>
    </x:row>
    <x:row r="877" ht="15.75" customHeight="1">
      <x:c r="F877" s="14"/>
      <x:c r="H877" s="14"/>
    </x:row>
    <x:row r="878" ht="15.75" customHeight="1">
      <x:c r="F878" s="14"/>
      <x:c r="H878" s="14"/>
    </x:row>
    <x:row r="879" ht="15.75" customHeight="1">
      <x:c r="F879" s="14"/>
      <x:c r="H879" s="14"/>
    </x:row>
    <x:row r="880" ht="15.75" customHeight="1">
      <x:c r="F880" s="14"/>
      <x:c r="H880" s="14"/>
    </x:row>
    <x:row r="881" ht="15.75" customHeight="1">
      <x:c r="F881" s="14"/>
      <x:c r="H881" s="14"/>
    </x:row>
    <x:row r="882" ht="15.75" customHeight="1">
      <x:c r="F882" s="14"/>
      <x:c r="H882" s="14"/>
    </x:row>
    <x:row r="883" ht="15.75" customHeight="1">
      <x:c r="F883" s="14"/>
      <x:c r="H883" s="14"/>
    </x:row>
    <x:row r="884" ht="15.75" customHeight="1">
      <x:c r="F884" s="14"/>
      <x:c r="H884" s="14"/>
    </x:row>
    <x:row r="885" ht="15.75" customHeight="1">
      <x:c r="F885" s="14"/>
      <x:c r="H885" s="14"/>
    </x:row>
    <x:row r="886" ht="15.75" customHeight="1">
      <x:c r="F886" s="14"/>
      <x:c r="H886" s="14"/>
    </x:row>
    <x:row r="887" ht="15.75" customHeight="1">
      <x:c r="F887" s="14"/>
      <x:c r="H887" s="14"/>
    </x:row>
    <x:row r="888" ht="15.75" customHeight="1">
      <x:c r="F888" s="14"/>
      <x:c r="H888" s="14"/>
    </x:row>
    <x:row r="889" ht="15.75" customHeight="1">
      <x:c r="F889" s="14"/>
      <x:c r="H889" s="14"/>
    </x:row>
    <x:row r="890" ht="15.75" customHeight="1">
      <x:c r="F890" s="14"/>
      <x:c r="H890" s="14"/>
    </x:row>
    <x:row r="891" ht="15.75" customHeight="1">
      <x:c r="F891" s="14"/>
      <x:c r="H891" s="14"/>
    </x:row>
    <x:row r="892" ht="15.75" customHeight="1">
      <x:c r="F892" s="14"/>
      <x:c r="H892" s="14"/>
    </x:row>
    <x:row r="893" ht="15.75" customHeight="1">
      <x:c r="F893" s="14"/>
      <x:c r="H893" s="14"/>
    </x:row>
    <x:row r="894" ht="15.75" customHeight="1">
      <x:c r="F894" s="14"/>
      <x:c r="H894" s="14"/>
    </x:row>
    <x:row r="895" ht="15.75" customHeight="1">
      <x:c r="F895" s="14"/>
      <x:c r="H895" s="14"/>
    </x:row>
    <x:row r="896" ht="15.75" customHeight="1">
      <x:c r="F896" s="14"/>
      <x:c r="H896" s="14"/>
    </x:row>
    <x:row r="897" ht="15.75" customHeight="1">
      <x:c r="F897" s="14"/>
      <x:c r="H897" s="14"/>
    </x:row>
    <x:row r="898" ht="15.75" customHeight="1">
      <x:c r="F898" s="14"/>
      <x:c r="H898" s="14"/>
    </x:row>
    <x:row r="899" ht="15.75" customHeight="1">
      <x:c r="F899" s="14"/>
      <x:c r="H899" s="14"/>
    </x:row>
    <x:row r="900" ht="15.75" customHeight="1">
      <x:c r="F900" s="14"/>
      <x:c r="H900" s="14"/>
    </x:row>
    <x:row r="901" ht="15.75" customHeight="1">
      <x:c r="F901" s="14"/>
      <x:c r="H901" s="14"/>
    </x:row>
    <x:row r="902" ht="15.75" customHeight="1">
      <x:c r="F902" s="14"/>
      <x:c r="H902" s="14"/>
    </x:row>
    <x:row r="903" ht="15.75" customHeight="1">
      <x:c r="F903" s="14"/>
      <x:c r="H903" s="14"/>
    </x:row>
    <x:row r="904" ht="15.75" customHeight="1">
      <x:c r="F904" s="14"/>
      <x:c r="H904" s="14"/>
    </x:row>
    <x:row r="905" ht="15.75" customHeight="1">
      <x:c r="F905" s="14"/>
      <x:c r="H905" s="14"/>
    </x:row>
    <x:row r="906" ht="15.75" customHeight="1">
      <x:c r="F906" s="14"/>
      <x:c r="H906" s="14"/>
    </x:row>
    <x:row r="907" ht="15.75" customHeight="1">
      <x:c r="F907" s="14"/>
      <x:c r="H907" s="14"/>
    </x:row>
    <x:row r="908" ht="15.75" customHeight="1">
      <x:c r="F908" s="14"/>
      <x:c r="H908" s="14"/>
    </x:row>
    <x:row r="909" ht="15.75" customHeight="1">
      <x:c r="F909" s="14"/>
      <x:c r="H909" s="14"/>
    </x:row>
    <x:row r="910" ht="15.75" customHeight="1">
      <x:c r="F910" s="14"/>
      <x:c r="H910" s="14"/>
    </x:row>
    <x:row r="911" ht="15.75" customHeight="1">
      <x:c r="F911" s="14"/>
      <x:c r="H911" s="14"/>
    </x:row>
    <x:row r="912" ht="15.75" customHeight="1">
      <x:c r="F912" s="14"/>
      <x:c r="H912" s="14"/>
    </x:row>
    <x:row r="913" ht="15.75" customHeight="1">
      <x:c r="F913" s="14"/>
      <x:c r="H913" s="14"/>
    </x:row>
    <x:row r="914" ht="15.75" customHeight="1">
      <x:c r="F914" s="14"/>
      <x:c r="H914" s="14"/>
    </x:row>
    <x:row r="915" ht="15.75" customHeight="1">
      <x:c r="F915" s="14"/>
      <x:c r="H915" s="14"/>
    </x:row>
    <x:row r="916" ht="15.75" customHeight="1">
      <x:c r="F916" s="14"/>
      <x:c r="H916" s="14"/>
    </x:row>
    <x:row r="917" ht="15.75" customHeight="1">
      <x:c r="F917" s="14"/>
      <x:c r="H917" s="14"/>
    </x:row>
    <x:row r="918" ht="15.75" customHeight="1">
      <x:c r="F918" s="14"/>
      <x:c r="H918" s="14"/>
    </x:row>
    <x:row r="919" ht="15.75" customHeight="1">
      <x:c r="F919" s="14"/>
      <x:c r="H919" s="14"/>
    </x:row>
    <x:row r="920" ht="15.75" customHeight="1">
      <x:c r="F920" s="14"/>
      <x:c r="H920" s="14"/>
    </x:row>
    <x:row r="921" ht="15.75" customHeight="1">
      <x:c r="F921" s="14"/>
      <x:c r="H921" s="14"/>
    </x:row>
    <x:row r="922" ht="15.75" customHeight="1">
      <x:c r="F922" s="14"/>
      <x:c r="H922" s="14"/>
    </x:row>
    <x:row r="923" ht="15.75" customHeight="1">
      <x:c r="F923" s="14"/>
      <x:c r="H923" s="14"/>
    </x:row>
    <x:row r="924" ht="15.75" customHeight="1">
      <x:c r="F924" s="14"/>
      <x:c r="H924" s="14"/>
    </x:row>
    <x:row r="925" ht="15.75" customHeight="1">
      <x:c r="F925" s="14"/>
      <x:c r="H925" s="14"/>
    </x:row>
    <x:row r="926" ht="15.75" customHeight="1">
      <x:c r="F926" s="14"/>
      <x:c r="H926" s="14"/>
    </x:row>
    <x:row r="927" ht="15.75" customHeight="1">
      <x:c r="F927" s="14"/>
      <x:c r="H927" s="14"/>
    </x:row>
    <x:row r="928" ht="15.75" customHeight="1">
      <x:c r="F928" s="14"/>
      <x:c r="H928" s="14"/>
    </x:row>
    <x:row r="929" ht="15.75" customHeight="1">
      <x:c r="F929" s="14"/>
      <x:c r="H929" s="14"/>
    </x:row>
    <x:row r="930" ht="15.75" customHeight="1">
      <x:c r="F930" s="14"/>
      <x:c r="H930" s="14"/>
    </x:row>
    <x:row r="931" ht="15.75" customHeight="1">
      <x:c r="F931" s="14"/>
      <x:c r="H931" s="14"/>
    </x:row>
    <x:row r="932" ht="15.75" customHeight="1">
      <x:c r="F932" s="14"/>
      <x:c r="H932" s="14"/>
    </x:row>
    <x:row r="933" ht="15.75" customHeight="1">
      <x:c r="F933" s="14"/>
      <x:c r="H933" s="14"/>
    </x:row>
    <x:row r="934" ht="15.75" customHeight="1">
      <x:c r="F934" s="14"/>
      <x:c r="H934" s="14"/>
    </x:row>
    <x:row r="935" ht="15.75" customHeight="1">
      <x:c r="F935" s="14"/>
      <x:c r="H935" s="14"/>
    </x:row>
    <x:row r="936" ht="15.75" customHeight="1">
      <x:c r="F936" s="14"/>
      <x:c r="H936" s="14"/>
    </x:row>
    <x:row r="937" ht="15.75" customHeight="1">
      <x:c r="F937" s="14"/>
      <x:c r="H937" s="14"/>
    </x:row>
    <x:row r="938" ht="15.75" customHeight="1">
      <x:c r="F938" s="14"/>
      <x:c r="H938" s="14"/>
    </x:row>
    <x:row r="939" ht="15.75" customHeight="1">
      <x:c r="F939" s="14"/>
      <x:c r="H939" s="14"/>
    </x:row>
    <x:row r="940" ht="15.75" customHeight="1">
      <x:c r="F940" s="14"/>
      <x:c r="H940" s="14"/>
    </x:row>
    <x:row r="941" ht="15.75" customHeight="1">
      <x:c r="F941" s="14"/>
      <x:c r="H941" s="14"/>
    </x:row>
    <x:row r="942" ht="15.75" customHeight="1">
      <x:c r="F942" s="14"/>
      <x:c r="H942" s="14"/>
    </x:row>
    <x:row r="943" ht="15.75" customHeight="1">
      <x:c r="F943" s="14"/>
      <x:c r="H943" s="14"/>
    </x:row>
    <x:row r="944" ht="15.75" customHeight="1">
      <x:c r="F944" s="14"/>
      <x:c r="H944" s="14"/>
    </x:row>
    <x:row r="945" ht="15.75" customHeight="1">
      <x:c r="F945" s="14"/>
      <x:c r="H945" s="14"/>
    </x:row>
    <x:row r="946" ht="15.75" customHeight="1">
      <x:c r="F946" s="14"/>
      <x:c r="H946" s="14"/>
    </x:row>
    <x:row r="947" ht="15.75" customHeight="1">
      <x:c r="F947" s="14"/>
      <x:c r="H947" s="14"/>
    </x:row>
    <x:row r="948" ht="15.75" customHeight="1">
      <x:c r="F948" s="14"/>
      <x:c r="H948" s="14"/>
    </x:row>
    <x:row r="949" ht="15.75" customHeight="1">
      <x:c r="F949" s="14"/>
      <x:c r="H949" s="14"/>
    </x:row>
    <x:row r="950" ht="15.75" customHeight="1">
      <x:c r="F950" s="14"/>
      <x:c r="H950" s="14"/>
    </x:row>
    <x:row r="951" ht="15.75" customHeight="1">
      <x:c r="F951" s="14"/>
      <x:c r="H951" s="14"/>
    </x:row>
    <x:row r="952" ht="15.75" customHeight="1">
      <x:c r="F952" s="14"/>
      <x:c r="H952" s="14"/>
    </x:row>
    <x:row r="953" ht="15.75" customHeight="1">
      <x:c r="F953" s="14"/>
      <x:c r="H953" s="14"/>
    </x:row>
    <x:row r="954" ht="15.75" customHeight="1">
      <x:c r="F954" s="14"/>
      <x:c r="H954" s="14"/>
    </x:row>
    <x:row r="955" ht="15.75" customHeight="1">
      <x:c r="F955" s="14"/>
      <x:c r="H955" s="14"/>
    </x:row>
    <x:row r="956" ht="15.75" customHeight="1">
      <x:c r="F956" s="14"/>
      <x:c r="H956" s="14"/>
    </x:row>
    <x:row r="957" ht="15.75" customHeight="1">
      <x:c r="F957" s="14"/>
      <x:c r="H957" s="14"/>
    </x:row>
    <x:row r="958" ht="15.75" customHeight="1">
      <x:c r="F958" s="14"/>
      <x:c r="H958" s="14"/>
    </x:row>
    <x:row r="959" ht="15.75" customHeight="1">
      <x:c r="F959" s="14"/>
      <x:c r="H959" s="14"/>
    </x:row>
    <x:row r="960" ht="15.75" customHeight="1">
      <x:c r="F960" s="14"/>
      <x:c r="H960" s="14"/>
    </x:row>
    <x:row r="961" ht="15.75" customHeight="1">
      <x:c r="F961" s="14"/>
      <x:c r="H961" s="14"/>
    </x:row>
    <x:row r="962" ht="15.75" customHeight="1">
      <x:c r="F962" s="14"/>
      <x:c r="H962" s="14"/>
    </x:row>
    <x:row r="963" ht="15.75" customHeight="1">
      <x:c r="F963" s="14"/>
      <x:c r="H963" s="14"/>
    </x:row>
    <x:row r="964" ht="15.75" customHeight="1">
      <x:c r="F964" s="14"/>
      <x:c r="H964" s="14"/>
    </x:row>
    <x:row r="965" ht="15.75" customHeight="1">
      <x:c r="F965" s="14"/>
      <x:c r="H965" s="14"/>
    </x:row>
    <x:row r="966" ht="15.75" customHeight="1">
      <x:c r="F966" s="14"/>
      <x:c r="H966" s="14"/>
    </x:row>
    <x:row r="967" ht="15.75" customHeight="1">
      <x:c r="F967" s="14"/>
      <x:c r="H967" s="14"/>
    </x:row>
    <x:row r="968" ht="15.75" customHeight="1">
      <x:c r="F968" s="14"/>
      <x:c r="H968" s="14"/>
    </x:row>
    <x:row r="969" ht="15.75" customHeight="1">
      <x:c r="F969" s="14"/>
      <x:c r="H969" s="14"/>
    </x:row>
    <x:row r="970" ht="15.75" customHeight="1">
      <x:c r="F970" s="14"/>
      <x:c r="H970" s="14"/>
    </x:row>
    <x:row r="971" ht="15.75" customHeight="1">
      <x:c r="F971" s="14"/>
      <x:c r="H971" s="14"/>
    </x:row>
    <x:row r="972" ht="15.75" customHeight="1">
      <x:c r="F972" s="14"/>
      <x:c r="H972" s="14"/>
    </x:row>
    <x:row r="973" ht="15.75" customHeight="1">
      <x:c r="F973" s="14"/>
      <x:c r="H973" s="14"/>
    </x:row>
    <x:row r="974" ht="15.75" customHeight="1">
      <x:c r="F974" s="14"/>
      <x:c r="H974" s="14"/>
    </x:row>
    <x:row r="975" ht="15.75" customHeight="1">
      <x:c r="F975" s="14"/>
      <x:c r="H975" s="14"/>
    </x:row>
    <x:row r="976" ht="15.75" customHeight="1">
      <x:c r="F976" s="14"/>
      <x:c r="H976" s="14"/>
    </x:row>
    <x:row r="977" ht="15.75" customHeight="1">
      <x:c r="F977" s="14"/>
      <x:c r="H977" s="14"/>
    </x:row>
    <x:row r="978" ht="15.75" customHeight="1">
      <x:c r="F978" s="14"/>
      <x:c r="H978" s="14"/>
    </x:row>
    <x:row r="979" ht="15.75" customHeight="1">
      <x:c r="F979" s="14"/>
      <x:c r="H979" s="14"/>
    </x:row>
    <x:row r="980" ht="15.75" customHeight="1">
      <x:c r="F980" s="14"/>
      <x:c r="H980" s="14"/>
    </x:row>
    <x:row r="981" ht="15.75" customHeight="1">
      <x:c r="F981" s="14"/>
      <x:c r="H981" s="14"/>
    </x:row>
    <x:row r="982" ht="15.75" customHeight="1">
      <x:c r="F982" s="14"/>
      <x:c r="H982" s="14"/>
    </x:row>
    <x:row r="983" ht="15.75" customHeight="1">
      <x:c r="F983" s="14"/>
      <x:c r="H983" s="14"/>
    </x:row>
    <x:row r="984" ht="15.75" customHeight="1">
      <x:c r="F984" s="14"/>
      <x:c r="H984" s="14"/>
    </x:row>
    <x:row r="985" ht="15.75" customHeight="1">
      <x:c r="F985" s="14"/>
      <x:c r="H985" s="14"/>
    </x:row>
    <x:row r="986" ht="15.75" customHeight="1">
      <x:c r="F986" s="14"/>
      <x:c r="H986" s="14"/>
    </x:row>
    <x:row r="987" ht="15.75" customHeight="1">
      <x:c r="F987" s="14"/>
      <x:c r="H987" s="14"/>
    </x:row>
    <x:row r="988" ht="15.75" customHeight="1">
      <x:c r="F988" s="14"/>
      <x:c r="H988" s="14"/>
    </x:row>
    <x:row r="989" ht="15.75" customHeight="1">
      <x:c r="F989" s="14"/>
      <x:c r="H989" s="14"/>
    </x:row>
    <x:row r="990" ht="15.75" customHeight="1">
      <x:c r="F990" s="14"/>
      <x:c r="H990" s="14"/>
    </x:row>
    <x:row r="991" ht="15.75" customHeight="1">
      <x:c r="F991" s="14"/>
      <x:c r="H991" s="14"/>
    </x:row>
    <x:row r="992" ht="15.75" customHeight="1">
      <x:c r="F992" s="14"/>
      <x:c r="H992" s="14"/>
    </x:row>
    <x:row r="993" ht="15.75" customHeight="1">
      <x:c r="F993" s="14"/>
      <x:c r="H993" s="14"/>
    </x:row>
    <x:row r="994" ht="15.75" customHeight="1">
      <x:c r="F994" s="14"/>
      <x:c r="H994" s="14"/>
    </x:row>
    <x:row r="995" ht="15.75" customHeight="1">
      <x:c r="F995" s="14"/>
      <x:c r="H995" s="14"/>
    </x:row>
    <x:row r="996" ht="15.75" customHeight="1">
      <x:c r="F996" s="14"/>
      <x:c r="H996" s="14"/>
    </x:row>
    <x:row r="997" ht="15.75" customHeight="1">
      <x:c r="F997" s="14"/>
      <x:c r="H997" s="14"/>
    </x:row>
    <x:row r="998" ht="15.75" customHeight="1">
      <x:c r="F998" s="14"/>
      <x:c r="H998" s="14"/>
    </x:row>
    <x:row r="999" ht="15.75" customHeight="1">
      <x:c r="F999" s="14"/>
      <x:c r="H999" s="14"/>
    </x:row>
    <x:row r="1000" ht="15.75" customHeight="1">
      <x:c r="F1000" s="14"/>
      <x:c r="H1000" s="14"/>
    </x:row>
    <x:row r="1001" ht="15.75" customHeight="1">
      <x:c r="F1001" s="14"/>
      <x:c r="H1001" s="14"/>
    </x:row>
    <x:row r="1002" ht="15.75" customHeight="1">
      <x:c r="F1002" s="14"/>
      <x:c r="H1002" s="14"/>
    </x:row>
    <x:row r="1003" ht="15.75" customHeight="1">
      <x:c r="F1003" s="14"/>
      <x:c r="H1003" s="14"/>
    </x:row>
    <x:row r="1004" ht="15.75" customHeight="1">
      <x:c r="F1004" s="14"/>
      <x:c r="H1004" s="14"/>
    </x:row>
  </x:sheetData>
  <x:mergeCells>
    <x:mergeCell ref="E20:H20"/>
    <x:mergeCell ref="L30:S30"/>
    <x:mergeCell ref="V30:AF30"/>
    <x:mergeCell ref="AJ30:AT30"/>
    <x:mergeCell ref="AY30:BE30"/>
    <x:mergeCell ref="E21:F21"/>
    <x:mergeCell ref="E22:F22"/>
  </x:mergeCells>
  <x:pageMargins left="0.7" right="0.7" top="0.75" bottom="0.75" header="0.3" footer="0.3"/>
  <x:drawing xmlns:r="http://schemas.openxmlformats.org/officeDocument/2006/relationships" r:id="R7e0ddb5c7c8b481d"/>
</x:worksheet>
</file>